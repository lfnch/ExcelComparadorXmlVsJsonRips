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90AB9469-483D-457D-8ACD-28F77D5C354F}" xr6:coauthVersionLast="47" xr6:coauthVersionMax="47" xr10:uidLastSave="{00000000-0000-0000-0000-000000000000}"/>
  <bookViews>
    <workbookView xWindow="-120" yWindow="-120" windowWidth="24240" windowHeight="13140" tabRatio="813" xr2:uid="{00000000-000D-0000-FFFF-FFFF00000000}"/>
  </bookViews>
  <sheets>
    <sheet name="&lt;&lt;INFO&gt;&gt;" sheetId="1" r:id="rId1"/>
    <sheet name="transaccion" sheetId="2" r:id="rId2"/>
    <sheet name="usuarios" sheetId="3" r:id="rId3"/>
    <sheet name="consultas" sheetId="5" r:id="rId4"/>
    <sheet name="urgencias" sheetId="8" r:id="rId5"/>
    <sheet name="procedimientos" sheetId="9" r:id="rId6"/>
    <sheet name="hospitalizacion" sheetId="10" r:id="rId7"/>
    <sheet name="recienNacidos" sheetId="11" r:id="rId8"/>
    <sheet name="medicamentos" sheetId="7" r:id="rId9"/>
    <sheet name="otrosServicios" sheetId="12" r:id="rId10"/>
  </sheets>
  <functionGroups builtInGroupCount="19"/>
  <definedNames>
    <definedName name="_xlnm._FilterDatabase" localSheetId="0" hidden="1">'&lt;&lt;INFO&gt;&gt;'!$F$17:$M$17</definedName>
    <definedName name="_xlnm._FilterDatabase" localSheetId="8" hidden="1">medicamentos!$A$1:$X$1</definedName>
    <definedName name="_xleta.PRICE" hidden="1" xlm="1">#NAME?</definedName>
    <definedName name="_xleta.SUM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L9" i="1"/>
  <c r="F5" i="1"/>
  <c r="L10" i="1"/>
  <c r="J5" i="1"/>
  <c r="L8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C32" i="1"/>
  <c r="C31" i="1"/>
  <c r="C30" i="1"/>
  <c r="C29" i="1"/>
  <c r="D32" i="1"/>
  <c r="D31" i="1"/>
  <c r="D30" i="1"/>
  <c r="D29" i="1"/>
  <c r="D23" i="1"/>
  <c r="C23" i="1"/>
  <c r="D22" i="1"/>
  <c r="D19" i="1"/>
  <c r="D17" i="1"/>
  <c r="D33" i="1" l="1"/>
  <c r="M6" i="1" s="1"/>
  <c r="M5" i="1"/>
  <c r="D24" i="1"/>
  <c r="C9" i="1" l="1"/>
  <c r="C11" i="1" s="1"/>
  <c r="C18" i="1"/>
  <c r="C22" i="1"/>
  <c r="C21" i="1"/>
  <c r="C20" i="1"/>
  <c r="C19" i="1"/>
  <c r="C17" i="1"/>
  <c r="C16" i="1"/>
</calcChain>
</file>

<file path=xl/sharedStrings.xml><?xml version="1.0" encoding="utf-8"?>
<sst xmlns="http://schemas.openxmlformats.org/spreadsheetml/2006/main" count="180" uniqueCount="88">
  <si>
    <t>tipoDocumentoIdentificacion</t>
  </si>
  <si>
    <t>numDocumentoIdentificacion</t>
  </si>
  <si>
    <t>tipoUsuario</t>
  </si>
  <si>
    <t>fechaNacimiento</t>
  </si>
  <si>
    <t>codSexo</t>
  </si>
  <si>
    <t>codPaisResidencia</t>
  </si>
  <si>
    <t>codMunicipioResidencia</t>
  </si>
  <si>
    <t>codZonaTerritorialResidencia</t>
  </si>
  <si>
    <t>incapacidad</t>
  </si>
  <si>
    <t>codPaisOrigen</t>
  </si>
  <si>
    <t>consecutivo</t>
  </si>
  <si>
    <t>numDocumentoIdObligado</t>
  </si>
  <si>
    <t>numFactura</t>
  </si>
  <si>
    <t>tipoNota</t>
  </si>
  <si>
    <t>numNota</t>
  </si>
  <si>
    <t>consecutivoUsuario</t>
  </si>
  <si>
    <t>codPrestador</t>
  </si>
  <si>
    <t>fechaInicioAtencion</t>
  </si>
  <si>
    <t>numAutorizacion</t>
  </si>
  <si>
    <t>codConsulta</t>
  </si>
  <si>
    <t>modalidadGrupoServicioTecSal</t>
  </si>
  <si>
    <t>grupoServicios</t>
  </si>
  <si>
    <t>codServicio</t>
  </si>
  <si>
    <t>finalidadTecnologiaSalud</t>
  </si>
  <si>
    <t>causaMotivoAtencion</t>
  </si>
  <si>
    <t>codDiagnosticoPrincipal</t>
  </si>
  <si>
    <t>codDiagnosticoRelacionado1</t>
  </si>
  <si>
    <t>codDiagnosticoRelacionado2</t>
  </si>
  <si>
    <t>codDiagnosticoRelacionado3</t>
  </si>
  <si>
    <t>tipoDiagnosticoPrincipal</t>
  </si>
  <si>
    <t>vrServicio</t>
  </si>
  <si>
    <t>conceptoRecaudo</t>
  </si>
  <si>
    <t>valorPagoModerador</t>
  </si>
  <si>
    <t>numFEVPagoModerador</t>
  </si>
  <si>
    <t>codDiagnosticoPrincipalE</t>
  </si>
  <si>
    <t>codDiagnosticoRelacionadoE1</t>
  </si>
  <si>
    <t>codDiagnosticoRelacionadoE2</t>
  </si>
  <si>
    <t>codDiagnosticoRelacionadoE3</t>
  </si>
  <si>
    <t>condicionDestinoUsuarioEgreso</t>
  </si>
  <si>
    <t>codDiagnosticoCausaMuerte</t>
  </si>
  <si>
    <t>fechaEgreso</t>
  </si>
  <si>
    <t>idMIPRES</t>
  </si>
  <si>
    <t>codProcedimiento</t>
  </si>
  <si>
    <t>viaIngresoServicioSalud</t>
  </si>
  <si>
    <t>codDiagnosticoRelacionado</t>
  </si>
  <si>
    <t>codComplicacion</t>
  </si>
  <si>
    <t>edadGestacional</t>
  </si>
  <si>
    <t>numConsultasCPrenatal</t>
  </si>
  <si>
    <t>codSexoBiologico</t>
  </si>
  <si>
    <t>peso</t>
  </si>
  <si>
    <t>fechaDispensAdmon</t>
  </si>
  <si>
    <t>tipoMedicamento</t>
  </si>
  <si>
    <t>codTecnologiaSalud</t>
  </si>
  <si>
    <t>nomTecnologiaSalud</t>
  </si>
  <si>
    <t>concentracionMedicamento</t>
  </si>
  <si>
    <t>unidadMedida</t>
  </si>
  <si>
    <t>formaFarmaceutica</t>
  </si>
  <si>
    <t>unidadMinDispensa</t>
  </si>
  <si>
    <t>cantidadMedicamento</t>
  </si>
  <si>
    <t>diasTratamiento</t>
  </si>
  <si>
    <t>vrUnitMedicamento</t>
  </si>
  <si>
    <t>fechaSuministroTecnologia</t>
  </si>
  <si>
    <t>tipoOS</t>
  </si>
  <si>
    <t>cantidadOS</t>
  </si>
  <si>
    <t>vrUnitOS</t>
  </si>
  <si>
    <t>TOTAL</t>
  </si>
  <si>
    <t>procedimientos</t>
  </si>
  <si>
    <t>ITEM</t>
  </si>
  <si>
    <t>V/UNIDAD</t>
  </si>
  <si>
    <t>SUBTOTAL</t>
  </si>
  <si>
    <t/>
  </si>
  <si>
    <t>Usuarios</t>
  </si>
  <si>
    <t>Consultas</t>
  </si>
  <si>
    <t>Urgencias</t>
  </si>
  <si>
    <t>Hospitalizacion</t>
  </si>
  <si>
    <t>RecienNacidos</t>
  </si>
  <si>
    <t>Medicamentos</t>
  </si>
  <si>
    <t>OtrosServicios</t>
  </si>
  <si>
    <t>CANT</t>
  </si>
  <si>
    <t>DESCRIPCION</t>
  </si>
  <si>
    <t>XML   # FACTURA:</t>
  </si>
  <si>
    <t>JSON # FACTURA:</t>
  </si>
  <si>
    <t>ARCHIVO</t>
  </si>
  <si>
    <t>VALOR XML          :</t>
  </si>
  <si>
    <t>VALOR JSON        :</t>
  </si>
  <si>
    <t>DIFERENCIA          :</t>
  </si>
  <si>
    <t>PAGOS MODERADORES</t>
  </si>
  <si>
    <t>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</si>
</sst>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34998626667073579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 tint="-0.34998626667073579"/>
      </top>
      <bottom style="thin">
        <color theme="1" tint="0.499984740745262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6"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0" fillId="0" borderId="1" xfId="1" applyNumberFormat="1" applyFont="1" applyBorder="1" applyAlignment="1">
      <alignment horizontal="center"/>
    </xf>
    <xf numFmtId="44" fontId="0" fillId="0" borderId="1" xfId="1" applyFont="1" applyBorder="1"/>
    <xf numFmtId="44" fontId="0" fillId="0" borderId="2" xfId="1" applyFont="1" applyBorder="1"/>
    <xf numFmtId="0" fontId="1" fillId="0" borderId="1" xfId="0" applyFont="1" applyBorder="1"/>
    <xf numFmtId="0" fontId="1" fillId="0" borderId="2" xfId="0" applyFont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1" applyNumberFormat="1" applyFont="1" applyFill="1" applyBorder="1"/>
    <xf numFmtId="0" fontId="1" fillId="0" borderId="0" xfId="0" applyFont="1" applyAlignment="1">
      <alignment horizontal="right"/>
    </xf>
    <xf numFmtId="0" fontId="0" fillId="0" borderId="0" xfId="1" applyNumberFormat="1" applyFont="1" applyFill="1" applyBorder="1"/>
    <xf numFmtId="0" fontId="1" fillId="0" borderId="0" xfId="0" applyFont="1"/>
    <xf numFmtId="0" fontId="3" fillId="2" borderId="0" xfId="0" applyFont="1" applyFill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3" xfId="0" applyFont="1" applyBorder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3" xfId="0" applyFont="1" applyFill="1" applyBorder="1"/>
    <xf numFmtId="0" fontId="1" fillId="2" borderId="5" xfId="0" applyFont="1" applyFill="1" applyBorder="1"/>
    <xf numFmtId="44" fontId="1" fillId="2" borderId="6" xfId="1" applyFont="1" applyFill="1" applyBorder="1"/>
    <xf numFmtId="44" fontId="2" fillId="0" borderId="0" xfId="1" applyFont="1"/>
    <xf numFmtId="44" fontId="2" fillId="0" borderId="0" xfId="1" applyFont="1" applyFill="1"/>
    <xf numFmtId="0" fontId="1" fillId="3" borderId="0" xfId="0" applyFont="1" applyFill="1" applyAlignment="1">
      <alignment horizontal="center"/>
    </xf>
    <xf numFmtId="0" fontId="2" fillId="0" borderId="0" xfId="1" applyNumberFormat="1" applyFont="1"/>
    <xf numFmtId="49" fontId="5" fillId="0" borderId="0" xfId="0" applyNumberFormat="1" applyFont="1" applyProtection="1">
      <protection locked="0"/>
    </xf>
    <xf numFmtId="49" fontId="4" fillId="0" borderId="0" xfId="0" applyNumberFormat="1" applyFont="1" applyProtection="1">
      <protection locked="0"/>
    </xf>
    <xf numFmtId="44" fontId="5" fillId="0" borderId="0" xfId="1" applyFont="1" applyFill="1" applyProtection="1">
      <protection locked="0"/>
    </xf>
    <xf numFmtId="0" fontId="0" fillId="0" borderId="0" xfId="0" applyProtection="1">
      <protection locked="0"/>
    </xf>
    <xf numFmtId="0" fontId="2" fillId="0" borderId="0" xfId="1" applyNumberFormat="1" applyFont="1" applyProtection="1">
      <protection locked="0"/>
    </xf>
    <xf numFmtId="44" fontId="0" fillId="0" borderId="0" xfId="0" applyNumberFormat="1"/>
    <xf numFmtId="44" fontId="0" fillId="0" borderId="0" xfId="1" applyFont="1" applyProtection="1"/>
    <xf numFmtId="0" fontId="6" fillId="0" borderId="0" xfId="0" applyFont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49" fontId="0" fillId="0" borderId="0" xfId="0" applyNumberFormat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/>
    </xf>
    <xf numFmtId="49" fontId="1" fillId="4" borderId="0" xfId="0" applyNumberFormat="1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49" fontId="1" fillId="2" borderId="0" xfId="0" applyNumberFormat="1" applyFont="1" applyFill="1" applyAlignment="1">
      <alignment horizontal="left" vertical="center" wrapText="1"/>
    </xf>
    <xf numFmtId="44" fontId="1" fillId="0" borderId="0" xfId="1" applyFont="1" applyAlignment="1">
      <alignment horizontal="left" vertical="center" wrapText="1"/>
    </xf>
    <xf numFmtId="0" fontId="0" fillId="0" borderId="0" xfId="0" applyAlignment="1">
      <alignment horizontal="left" wrapText="1"/>
    </xf>
    <xf numFmtId="49" fontId="8" fillId="0" borderId="0" xfId="0" applyNumberFormat="1" applyFont="1" applyAlignment="1">
      <alignment horizontal="center" vertical="center"/>
    </xf>
    <xf numFmtId="44" fontId="0" fillId="0" borderId="4" xfId="1" applyFont="1" applyBorder="1" applyAlignment="1" applyProtection="1">
      <alignment horizontal="right"/>
    </xf>
    <xf numFmtId="44" fontId="0" fillId="0" borderId="3" xfId="1" applyFont="1" applyBorder="1" applyAlignment="1" applyProtection="1">
      <alignment horizontal="right"/>
    </xf>
    <xf numFmtId="0" fontId="1" fillId="0" borderId="3" xfId="0" applyFont="1" applyBorder="1" applyAlignment="1">
      <alignment horizontal="left"/>
    </xf>
    <xf numFmtId="44" fontId="2" fillId="0" borderId="3" xfId="1" applyFont="1" applyBorder="1" applyAlignment="1" applyProtection="1">
      <alignment horizontal="right"/>
    </xf>
    <xf numFmtId="0" fontId="1" fillId="0" borderId="3" xfId="0" applyNumberFormat="1" applyFont="1" applyBorder="1" applyAlignment="1">
      <alignment horizontal="left"/>
    </xf>
  </cellXfs>
  <cellStyles count="2">
    <cellStyle name="Moneda" xfId="1" builtinId="4"/>
    <cellStyle name="Normal" xfId="0" builtinId="0"/>
  </cellStyles>
  <dxfs count="176"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</font>
      <fill>
        <patternFill>
          <bgColor rgb="FFCCFFCC"/>
        </patternFill>
      </fill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border>
        <bottom style="thin">
          <color theme="2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rgb="FFCCFF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1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numFmt numFmtId="30" formatCode="@"/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CC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47625</xdr:colOff>
      <xdr:row>0</xdr:row>
      <xdr:rowOff>28575</xdr:rowOff>
    </xdr:from>
    <xdr:to>
      <xdr:col>1</xdr:col>
      <xdr:colOff>419100</xdr:colOff>
      <xdr:row>1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2C68DDE-56FF-F6C9-B52A-E21CEF3FE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575"/>
          <a:ext cx="371475" cy="371475"/>
        </a:xfrm>
        <a:prstGeom prst="rect">
          <a:avLst/>
        </a:prstGeom>
      </xdr:spPr>
    </xdr:pic>
    <xdr:clientData/>
  </xdr:twoCellAnchor>
  <xdr:twoCellAnchor editAs="absolute">
    <xdr:from>
      <xdr:col>1</xdr:col>
      <xdr:colOff>361950</xdr:colOff>
      <xdr:row>0</xdr:row>
      <xdr:rowOff>76200</xdr:rowOff>
    </xdr:from>
    <xdr:to>
      <xdr:col>5</xdr:col>
      <xdr:colOff>462640</xdr:colOff>
      <xdr:row>1</xdr:row>
      <xdr:rowOff>149571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82EE715A-CD25-DEB0-B22C-08621AE9F37C}"/>
            </a:ext>
          </a:extLst>
        </xdr:cNvPr>
        <xdr:cNvSpPr txBox="1"/>
      </xdr:nvSpPr>
      <xdr:spPr>
        <a:xfrm>
          <a:off x="457200" y="76200"/>
          <a:ext cx="33201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400" b="1">
              <a:effectLst/>
              <a:latin typeface="+mj-lt"/>
            </a:rPr>
            <a:t>COMPARADOR</a:t>
          </a:r>
          <a:r>
            <a:rPr lang="es-CO" sz="1400" b="1" baseline="0">
              <a:effectLst/>
              <a:latin typeface="+mj-lt"/>
            </a:rPr>
            <a:t> FACTURA XML VS RIPS JSON</a:t>
          </a:r>
          <a:endParaRPr lang="es-CO" sz="1400" b="1">
            <a:effectLst/>
            <a:latin typeface="+mj-lt"/>
          </a:endParaRPr>
        </a:p>
      </xdr:txBody>
    </xdr:sp>
    <xdr:clientData/>
  </xdr:twoCellAnchor>
  <xdr:twoCellAnchor editAs="absolute">
    <xdr:from>
      <xdr:col>5</xdr:col>
      <xdr:colOff>457200</xdr:colOff>
      <xdr:row>0</xdr:row>
      <xdr:rowOff>76200</xdr:rowOff>
    </xdr:from>
    <xdr:to>
      <xdr:col>6</xdr:col>
      <xdr:colOff>538200</xdr:colOff>
      <xdr:row>1</xdr:row>
      <xdr:rowOff>123825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D63D25A6-D9C7-FEE4-5A28-E4361425B00A}"/>
            </a:ext>
          </a:extLst>
        </xdr:cNvPr>
        <xdr:cNvGrpSpPr/>
      </xdr:nvGrpSpPr>
      <xdr:grpSpPr>
        <a:xfrm>
          <a:off x="3771900" y="76200"/>
          <a:ext cx="1224000" cy="285750"/>
          <a:chOff x="114300" y="542925"/>
          <a:chExt cx="1276350" cy="285750"/>
        </a:xfrm>
      </xdr:grpSpPr>
      <xdr:sp macro="[0]!ImportarXMLDesdeArchivo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3ED9E02-D81B-5D1B-8EDA-35CDE3080560}"/>
              </a:ext>
            </a:extLst>
          </xdr:cNvPr>
          <xdr:cNvSpPr/>
        </xdr:nvSpPr>
        <xdr:spPr>
          <a:xfrm>
            <a:off x="114300" y="542925"/>
            <a:ext cx="127635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/>
              <a:t>Importar</a:t>
            </a:r>
            <a:r>
              <a:rPr lang="es-CO" sz="1100" b="1" baseline="0"/>
              <a:t> XML</a:t>
            </a:r>
          </a:p>
        </xdr:txBody>
      </xdr:sp>
      <xdr:pic>
        <xdr:nvPicPr>
          <xdr:cNvPr id="8" name="Imagen 7">
            <a:extLst>
              <a:ext uri="{FF2B5EF4-FFF2-40B4-BE49-F238E27FC236}">
                <a16:creationId xmlns:a16="http://schemas.microsoft.com/office/drawing/2014/main" id="{25C8F776-047D-2C03-B8FA-8EDBA3C2324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7961" y="566224"/>
            <a:ext cx="299779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678654</xdr:colOff>
      <xdr:row>0</xdr:row>
      <xdr:rowOff>79773</xdr:rowOff>
    </xdr:from>
    <xdr:to>
      <xdr:col>6</xdr:col>
      <xdr:colOff>1902654</xdr:colOff>
      <xdr:row>1</xdr:row>
      <xdr:rowOff>127398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DF87E744-A159-9C4C-84BB-0060CD8CFB1F}"/>
            </a:ext>
          </a:extLst>
        </xdr:cNvPr>
        <xdr:cNvGrpSpPr/>
      </xdr:nvGrpSpPr>
      <xdr:grpSpPr>
        <a:xfrm>
          <a:off x="5136354" y="79773"/>
          <a:ext cx="1224000" cy="285750"/>
          <a:chOff x="126204" y="946548"/>
          <a:chExt cx="1262415" cy="285750"/>
        </a:xfrm>
      </xdr:grpSpPr>
      <xdr:sp macro="[0]!ImportarJSONDesdeArchivo" textlink="">
        <xdr:nvSpPr>
          <xdr:cNvPr id="2" name="Rectángulo 1">
            <a:extLst>
              <a:ext uri="{FF2B5EF4-FFF2-40B4-BE49-F238E27FC236}">
                <a16:creationId xmlns:a16="http://schemas.microsoft.com/office/drawing/2014/main" id="{73ED9E02-D81B-5D1B-8EDA-35CDE3080560}"/>
              </a:ext>
            </a:extLst>
          </xdr:cNvPr>
          <xdr:cNvSpPr/>
        </xdr:nvSpPr>
        <xdr:spPr>
          <a:xfrm>
            <a:off x="126204" y="946548"/>
            <a:ext cx="126000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/>
              <a:t>Importar</a:t>
            </a:r>
            <a:r>
              <a:rPr lang="es-CO" sz="1100" b="1" baseline="0"/>
              <a:t> JSON</a:t>
            </a:r>
          </a:p>
        </xdr:txBody>
      </xdr:sp>
      <xdr:pic>
        <xdr:nvPicPr>
          <xdr:cNvPr id="9" name="Imagen 8">
            <a:extLst>
              <a:ext uri="{FF2B5EF4-FFF2-40B4-BE49-F238E27FC236}">
                <a16:creationId xmlns:a16="http://schemas.microsoft.com/office/drawing/2014/main" id="{B18638A3-76C0-47D1-8AEA-76F9DF38E9E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91523" y="966275"/>
            <a:ext cx="297096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85724</xdr:colOff>
      <xdr:row>2</xdr:row>
      <xdr:rowOff>95250</xdr:rowOff>
    </xdr:from>
    <xdr:to>
      <xdr:col>13</xdr:col>
      <xdr:colOff>428625</xdr:colOff>
      <xdr:row>3</xdr:row>
      <xdr:rowOff>169310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EA9D867-DBBB-4088-BAFD-76A794E18E63}"/>
            </a:ext>
          </a:extLst>
        </xdr:cNvPr>
        <xdr:cNvSpPr txBox="1"/>
      </xdr:nvSpPr>
      <xdr:spPr>
        <a:xfrm>
          <a:off x="85724" y="523875"/>
          <a:ext cx="12039601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</a:t>
          </a:r>
        </a:p>
      </xdr:txBody>
    </xdr:sp>
    <xdr:clientData/>
  </xdr:twoCellAnchor>
  <xdr:twoCellAnchor editAs="absolute">
    <xdr:from>
      <xdr:col>1</xdr:col>
      <xdr:colOff>9525</xdr:colOff>
      <xdr:row>11</xdr:row>
      <xdr:rowOff>171450</xdr:rowOff>
    </xdr:from>
    <xdr:to>
      <xdr:col>3</xdr:col>
      <xdr:colOff>1247775</xdr:colOff>
      <xdr:row>13</xdr:row>
      <xdr:rowOff>55010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3AD475D-7E6C-4400-B406-AAA9408C5105}"/>
            </a:ext>
          </a:extLst>
        </xdr:cNvPr>
        <xdr:cNvSpPr txBox="1"/>
      </xdr:nvSpPr>
      <xdr:spPr>
        <a:xfrm>
          <a:off x="104775" y="2314575"/>
          <a:ext cx="2905125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VALORES JSON RIPS</a:t>
          </a:r>
        </a:p>
      </xdr:txBody>
    </xdr:sp>
    <xdr:clientData/>
  </xdr:twoCellAnchor>
  <xdr:twoCellAnchor editAs="absolute">
    <xdr:from>
      <xdr:col>4</xdr:col>
      <xdr:colOff>209550</xdr:colOff>
      <xdr:row>2</xdr:row>
      <xdr:rowOff>95250</xdr:rowOff>
    </xdr:from>
    <xdr:to>
      <xdr:col>6</xdr:col>
      <xdr:colOff>1876426</xdr:colOff>
      <xdr:row>3</xdr:row>
      <xdr:rowOff>169310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587AEBDB-2626-4FBD-86C3-1A310CD1718A}"/>
            </a:ext>
          </a:extLst>
        </xdr:cNvPr>
        <xdr:cNvSpPr txBox="1"/>
      </xdr:nvSpPr>
      <xdr:spPr>
        <a:xfrm>
          <a:off x="3238500" y="523875"/>
          <a:ext cx="3095626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 FACTURA ELECTRONICA</a:t>
          </a:r>
        </a:p>
      </xdr:txBody>
    </xdr:sp>
    <xdr:clientData/>
  </xdr:twoCellAnchor>
  <xdr:twoCellAnchor editAs="absolute">
    <xdr:from>
      <xdr:col>10</xdr:col>
      <xdr:colOff>92707</xdr:colOff>
      <xdr:row>2</xdr:row>
      <xdr:rowOff>98206</xdr:rowOff>
    </xdr:from>
    <xdr:to>
      <xdr:col>12</xdr:col>
      <xdr:colOff>1095129</xdr:colOff>
      <xdr:row>3</xdr:row>
      <xdr:rowOff>172266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70626804-2734-41FC-A8D4-A54B03DE5C94}"/>
            </a:ext>
          </a:extLst>
        </xdr:cNvPr>
        <xdr:cNvSpPr txBox="1"/>
      </xdr:nvSpPr>
      <xdr:spPr>
        <a:xfrm>
          <a:off x="10011845" y="525189"/>
          <a:ext cx="1646181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RESUMEN JSON</a:t>
          </a:r>
          <a:r>
            <a:rPr lang="es-CO" sz="1100" b="1" baseline="0">
              <a:effectLst/>
              <a:latin typeface="+mj-lt"/>
            </a:rPr>
            <a:t> RIPS</a:t>
          </a:r>
          <a:endParaRPr lang="es-CO" sz="1100" b="1">
            <a:effectLst/>
            <a:latin typeface="+mj-lt"/>
          </a:endParaRPr>
        </a:p>
      </xdr:txBody>
    </xdr:sp>
    <xdr:clientData/>
  </xdr:twoCellAnchor>
  <xdr:twoCellAnchor editAs="absolute">
    <xdr:from>
      <xdr:col>0</xdr:col>
      <xdr:colOff>85725</xdr:colOff>
      <xdr:row>24</xdr:row>
      <xdr:rowOff>142875</xdr:rowOff>
    </xdr:from>
    <xdr:to>
      <xdr:col>3</xdr:col>
      <xdr:colOff>1228725</xdr:colOff>
      <xdr:row>26</xdr:row>
      <xdr:rowOff>26435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9DF4BCE-43BE-4B70-9B54-B5F392E5FD30}"/>
            </a:ext>
          </a:extLst>
        </xdr:cNvPr>
        <xdr:cNvSpPr txBox="1"/>
      </xdr:nvSpPr>
      <xdr:spPr>
        <a:xfrm>
          <a:off x="85725" y="4762500"/>
          <a:ext cx="2905125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effectLst/>
              <a:latin typeface="+mj-lt"/>
            </a:rPr>
            <a:t>VALORES JSON  RIPS PAGOS</a:t>
          </a:r>
          <a:r>
            <a:rPr lang="es-CO" sz="1100" b="1" baseline="0">
              <a:effectLst/>
              <a:latin typeface="+mj-lt"/>
            </a:rPr>
            <a:t> MODERADORES</a:t>
          </a:r>
          <a:endParaRPr lang="es-CO" sz="1100" b="1">
            <a:effectLst/>
            <a:latin typeface="+mj-lt"/>
          </a:endParaRPr>
        </a:p>
      </xdr:txBody>
    </xdr:sp>
    <xdr:clientData/>
  </xdr:twoCellAnchor>
  <xdr:twoCellAnchor editAs="absolute">
    <xdr:from>
      <xdr:col>6</xdr:col>
      <xdr:colOff>2002629</xdr:colOff>
      <xdr:row>0</xdr:row>
      <xdr:rowOff>89298</xdr:rowOff>
    </xdr:from>
    <xdr:to>
      <xdr:col>8</xdr:col>
      <xdr:colOff>254829</xdr:colOff>
      <xdr:row>1</xdr:row>
      <xdr:rowOff>136923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F0B6BCC-F6C0-4989-8D4A-D074502EAF0E}"/>
            </a:ext>
          </a:extLst>
        </xdr:cNvPr>
        <xdr:cNvGrpSpPr/>
      </xdr:nvGrpSpPr>
      <xdr:grpSpPr>
        <a:xfrm>
          <a:off x="6460329" y="89298"/>
          <a:ext cx="1224000" cy="285750"/>
          <a:chOff x="126204" y="946548"/>
          <a:chExt cx="1262415" cy="285750"/>
        </a:xfrm>
      </xdr:grpSpPr>
      <xdr:sp macro="[0]!ExportarJson" textlink="">
        <xdr:nvSpPr>
          <xdr:cNvPr id="7" name="Rectángulo 6">
            <a:extLst>
              <a:ext uri="{FF2B5EF4-FFF2-40B4-BE49-F238E27FC236}">
                <a16:creationId xmlns:a16="http://schemas.microsoft.com/office/drawing/2014/main" id="{C212072C-6D6E-1BD4-121A-48C5095EF2F6}"/>
              </a:ext>
            </a:extLst>
          </xdr:cNvPr>
          <xdr:cNvSpPr/>
        </xdr:nvSpPr>
        <xdr:spPr>
          <a:xfrm>
            <a:off x="126204" y="946548"/>
            <a:ext cx="1260000" cy="2857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 baseline="0"/>
              <a:t>Exportar JSON</a:t>
            </a:r>
          </a:p>
        </xdr:txBody>
      </xdr:sp>
      <xdr:pic macro="[0]!ExportarJson">
        <xdr:nvPicPr>
          <xdr:cNvPr id="10" name="Imagen 9">
            <a:extLst>
              <a:ext uri="{FF2B5EF4-FFF2-40B4-BE49-F238E27FC236}">
                <a16:creationId xmlns:a16="http://schemas.microsoft.com/office/drawing/2014/main" id="{7FF78043-A535-5EA1-F8F9-70D9EAB744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91523" y="966275"/>
            <a:ext cx="297096" cy="2520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transaccion" displayName="tb_transaccion" ref="A1:D2" totalsRowShown="0" headerRowDxfId="175" dataDxfId="174">
  <tableColumns count="4">
    <tableColumn id="1" xr3:uid="{00000000-0010-0000-0000-000001000000}" name="numDocumentoIdObligado" dataDxfId="173"/>
    <tableColumn id="2" xr3:uid="{00000000-0010-0000-0000-000002000000}" name="numFactura" dataDxfId="172"/>
    <tableColumn id="3" xr3:uid="{00000000-0010-0000-0000-000003000000}" name="tipoNota" dataDxfId="171"/>
    <tableColumn id="4" xr3:uid="{00000000-0010-0000-0000-000004000000}" name="numNota" dataDxfId="17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_usuarios" displayName="tb_usuarios" ref="A1:K2" totalsRowShown="0" headerRowDxfId="169" dataDxfId="168">
  <autoFilter ref="A1:K2" xr:uid="{00000000-000C-0000-FFFF-FFFF01000000}"/>
  <tableColumns count="11">
    <tableColumn id="1" xr3:uid="{00000000-0010-0000-0100-000001000000}" name="tipoDocumentoIdentificacion" dataDxfId="167"/>
    <tableColumn id="2" xr3:uid="{00000000-0010-0000-0100-000002000000}" name="numDocumentoIdentificacion" dataDxfId="166"/>
    <tableColumn id="3" xr3:uid="{00000000-0010-0000-0100-000003000000}" name="tipoUsuario" dataDxfId="165"/>
    <tableColumn id="4" xr3:uid="{00000000-0010-0000-0100-000004000000}" name="fechaNacimiento" dataDxfId="164"/>
    <tableColumn id="5" xr3:uid="{00000000-0010-0000-0100-000005000000}" name="codSexo" dataDxfId="163"/>
    <tableColumn id="6" xr3:uid="{00000000-0010-0000-0100-000006000000}" name="codPaisResidencia" dataDxfId="162"/>
    <tableColumn id="7" xr3:uid="{00000000-0010-0000-0100-000007000000}" name="codMunicipioResidencia" dataDxfId="161"/>
    <tableColumn id="8" xr3:uid="{00000000-0010-0000-0100-000008000000}" name="codZonaTerritorialResidencia" dataDxfId="160"/>
    <tableColumn id="9" xr3:uid="{00000000-0010-0000-0100-000009000000}" name="incapacidad" dataDxfId="159"/>
    <tableColumn id="10" xr3:uid="{00000000-0010-0000-0100-00000A000000}" name="codPaisOrigen" dataDxfId="158"/>
    <tableColumn id="11" xr3:uid="{00000000-0010-0000-0100-00000B000000}" name="consecutivo" dataDxfId="15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_consultas" displayName="tb_consultas" ref="A1:V2" totalsRowShown="0" headerRowDxfId="156" dataDxfId="155">
  <tableColumns count="22">
    <tableColumn id="1" xr3:uid="{00000000-0010-0000-0200-000001000000}" name="consecutivoUsuario" dataDxfId="154"/>
    <tableColumn id="2" xr3:uid="{00000000-0010-0000-0200-000002000000}" name="codPrestador" dataDxfId="153"/>
    <tableColumn id="3" xr3:uid="{00000000-0010-0000-0200-000003000000}" name="fechaInicioAtencion" dataDxfId="152"/>
    <tableColumn id="4" xr3:uid="{00000000-0010-0000-0200-000004000000}" name="numAutorizacion" dataDxfId="151"/>
    <tableColumn id="5" xr3:uid="{00000000-0010-0000-0200-000005000000}" name="codConsulta" dataDxfId="150"/>
    <tableColumn id="6" xr3:uid="{00000000-0010-0000-0200-000006000000}" name="modalidadGrupoServicioTecSal" dataDxfId="149"/>
    <tableColumn id="7" xr3:uid="{00000000-0010-0000-0200-000007000000}" name="grupoServicios" dataDxfId="148"/>
    <tableColumn id="8" xr3:uid="{00000000-0010-0000-0200-000008000000}" name="codServicio" dataDxfId="147"/>
    <tableColumn id="9" xr3:uid="{00000000-0010-0000-0200-000009000000}" name="finalidadTecnologiaSalud" dataDxfId="146"/>
    <tableColumn id="10" xr3:uid="{00000000-0010-0000-0200-00000A000000}" name="causaMotivoAtencion" dataDxfId="145"/>
    <tableColumn id="11" xr3:uid="{00000000-0010-0000-0200-00000B000000}" name="codDiagnosticoPrincipal" dataDxfId="144"/>
    <tableColumn id="12" xr3:uid="{00000000-0010-0000-0200-00000C000000}" name="codDiagnosticoRelacionado1" dataDxfId="143"/>
    <tableColumn id="13" xr3:uid="{00000000-0010-0000-0200-00000D000000}" name="codDiagnosticoRelacionado2" dataDxfId="142"/>
    <tableColumn id="14" xr3:uid="{00000000-0010-0000-0200-00000E000000}" name="codDiagnosticoRelacionado3" dataDxfId="141"/>
    <tableColumn id="15" xr3:uid="{00000000-0010-0000-0200-00000F000000}" name="tipoDiagnosticoPrincipal" dataDxfId="140"/>
    <tableColumn id="16" xr3:uid="{00000000-0010-0000-0200-000010000000}" name="tipoDocumentoIdentificacion" dataDxfId="139"/>
    <tableColumn id="17" xr3:uid="{00000000-0010-0000-0200-000011000000}" name="numDocumentoIdentificacion" dataDxfId="138"/>
    <tableColumn id="18" xr3:uid="{00000000-0010-0000-0200-000012000000}" name="vrServicio" dataDxfId="137"/>
    <tableColumn id="19" xr3:uid="{00000000-0010-0000-0200-000013000000}" name="conceptoRecaudo" dataDxfId="136"/>
    <tableColumn id="20" xr3:uid="{00000000-0010-0000-0200-000014000000}" name="valorPagoModerador" dataDxfId="135"/>
    <tableColumn id="21" xr3:uid="{00000000-0010-0000-0200-000015000000}" name="numFEVPagoModerador" dataDxfId="134"/>
    <tableColumn id="22" xr3:uid="{00000000-0010-0000-0200-000016000000}" name="consecutivo" dataDxfId="13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_urgencias" displayName="tb_urgencias" ref="A1:M2" totalsRowShown="0" headerRowDxfId="132" dataDxfId="131">
  <autoFilter ref="A1:M2" xr:uid="{00000000-0009-0000-0100-000004000000}"/>
  <tableColumns count="13">
    <tableColumn id="1" xr3:uid="{00000000-0010-0000-0300-000001000000}" name="consecutivoUsuario" dataDxfId="130"/>
    <tableColumn id="2" xr3:uid="{00000000-0010-0000-0300-000002000000}" name="codPrestador" dataDxfId="129"/>
    <tableColumn id="3" xr3:uid="{00000000-0010-0000-0300-000003000000}" name="fechaInicioAtencion" dataDxfId="128"/>
    <tableColumn id="4" xr3:uid="{00000000-0010-0000-0300-000004000000}" name="causaMotivoAtencion" dataDxfId="127"/>
    <tableColumn id="5" xr3:uid="{00000000-0010-0000-0300-000005000000}" name="codDiagnosticoPrincipal" dataDxfId="126"/>
    <tableColumn id="6" xr3:uid="{00000000-0010-0000-0300-000006000000}" name="codDiagnosticoPrincipalE" dataDxfId="125"/>
    <tableColumn id="7" xr3:uid="{00000000-0010-0000-0300-000007000000}" name="codDiagnosticoRelacionadoE1" dataDxfId="124"/>
    <tableColumn id="8" xr3:uid="{00000000-0010-0000-0300-000008000000}" name="codDiagnosticoRelacionadoE2" dataDxfId="123"/>
    <tableColumn id="9" xr3:uid="{00000000-0010-0000-0300-000009000000}" name="codDiagnosticoRelacionadoE3" dataDxfId="122"/>
    <tableColumn id="10" xr3:uid="{00000000-0010-0000-0300-00000A000000}" name="condicionDestinoUsuarioEgreso" dataDxfId="121"/>
    <tableColumn id="11" xr3:uid="{00000000-0010-0000-0300-00000B000000}" name="codDiagnosticoCausaMuerte" dataDxfId="120"/>
    <tableColumn id="12" xr3:uid="{00000000-0010-0000-0300-00000C000000}" name="fechaEgreso" dataDxfId="119"/>
    <tableColumn id="13" xr3:uid="{00000000-0010-0000-0300-00000D000000}" name="consecutivo" dataDxfId="11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_procedimientos" displayName="tb_procedimientos" ref="A1:U2" insertRow="1" insertRowShift="1" totalsRowShown="0" headerRowDxfId="117" dataDxfId="116">
  <tableColumns count="21">
    <tableColumn id="1" xr3:uid="{00000000-0010-0000-0400-000001000000}" name="consecutivoUsuario" dataDxfId="115"/>
    <tableColumn id="2" xr3:uid="{00000000-0010-0000-0400-000002000000}" name="codPrestador" dataDxfId="114"/>
    <tableColumn id="3" xr3:uid="{00000000-0010-0000-0400-000003000000}" name="fechaInicioAtencion" dataDxfId="113"/>
    <tableColumn id="4" xr3:uid="{00000000-0010-0000-0400-000004000000}" name="idMIPRES" dataDxfId="112"/>
    <tableColumn id="5" xr3:uid="{00000000-0010-0000-0400-000005000000}" name="numAutorizacion" dataDxfId="111"/>
    <tableColumn id="6" xr3:uid="{00000000-0010-0000-0400-000006000000}" name="codProcedimiento" dataDxfId="110"/>
    <tableColumn id="7" xr3:uid="{00000000-0010-0000-0400-000007000000}" name="viaIngresoServicioSalud" dataDxfId="109"/>
    <tableColumn id="8" xr3:uid="{00000000-0010-0000-0400-000008000000}" name="modalidadGrupoServicioTecSal" dataDxfId="108"/>
    <tableColumn id="9" xr3:uid="{00000000-0010-0000-0400-000009000000}" name="grupoServicios" dataDxfId="107"/>
    <tableColumn id="10" xr3:uid="{00000000-0010-0000-0400-00000A000000}" name="codServicio" dataDxfId="106"/>
    <tableColumn id="11" xr3:uid="{00000000-0010-0000-0400-00000B000000}" name="finalidadTecnologiaSalud" dataDxfId="105"/>
    <tableColumn id="12" xr3:uid="{00000000-0010-0000-0400-00000C000000}" name="tipoDocumentoIdentificacion" dataDxfId="104"/>
    <tableColumn id="13" xr3:uid="{00000000-0010-0000-0400-00000D000000}" name="numDocumentoIdentificacion" dataDxfId="103"/>
    <tableColumn id="14" xr3:uid="{00000000-0010-0000-0400-00000E000000}" name="codDiagnosticoPrincipal" dataDxfId="102"/>
    <tableColumn id="15" xr3:uid="{00000000-0010-0000-0400-00000F000000}" name="codDiagnosticoRelacionado" dataDxfId="101"/>
    <tableColumn id="16" xr3:uid="{00000000-0010-0000-0400-000010000000}" name="codComplicacion" dataDxfId="100"/>
    <tableColumn id="17" xr3:uid="{00000000-0010-0000-0400-000011000000}" name="vrServicio" dataDxfId="99"/>
    <tableColumn id="18" xr3:uid="{00000000-0010-0000-0400-000012000000}" name="conceptoRecaudo" dataDxfId="98"/>
    <tableColumn id="19" xr3:uid="{00000000-0010-0000-0400-000013000000}" name="valorPagoModerador" dataDxfId="97"/>
    <tableColumn id="20" xr3:uid="{00000000-0010-0000-0400-000014000000}" name="numFEVPagoModerador" dataDxfId="96"/>
    <tableColumn id="21" xr3:uid="{00000000-0010-0000-0400-000015000000}" name="consecutivo" dataDxfId="9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_hospitalizacion" displayName="tb_hospitalizacion" ref="A1:P2" insertRow="1" insertRowShift="1" totalsRowShown="0" headerRowDxfId="94" dataDxfId="93">
  <tableColumns count="16">
    <tableColumn id="1" xr3:uid="{00000000-0010-0000-0500-000001000000}" name="consecutivoUsuario" dataDxfId="92"/>
    <tableColumn id="2" xr3:uid="{00000000-0010-0000-0500-000002000000}" name="codPrestador" dataDxfId="91"/>
    <tableColumn id="3" xr3:uid="{00000000-0010-0000-0500-000003000000}" name="viaIngresoServicioSalud" dataDxfId="90"/>
    <tableColumn id="4" xr3:uid="{00000000-0010-0000-0500-000004000000}" name="fechaInicioAtencion" dataDxfId="89"/>
    <tableColumn id="5" xr3:uid="{00000000-0010-0000-0500-000005000000}" name="numAutorizacion" dataDxfId="88"/>
    <tableColumn id="6" xr3:uid="{00000000-0010-0000-0500-000006000000}" name="causaMotivoAtencion" dataDxfId="87"/>
    <tableColumn id="7" xr3:uid="{00000000-0010-0000-0500-000007000000}" name="codDiagnosticoPrincipal" dataDxfId="86"/>
    <tableColumn id="8" xr3:uid="{00000000-0010-0000-0500-000008000000}" name="codDiagnosticoPrincipalE" dataDxfId="85"/>
    <tableColumn id="9" xr3:uid="{00000000-0010-0000-0500-000009000000}" name="codDiagnosticoRelacionadoE1" dataDxfId="84"/>
    <tableColumn id="10" xr3:uid="{00000000-0010-0000-0500-00000A000000}" name="codDiagnosticoRelacionadoE2" dataDxfId="83"/>
    <tableColumn id="11" xr3:uid="{00000000-0010-0000-0500-00000B000000}" name="codDiagnosticoRelacionadoE3" dataDxfId="82"/>
    <tableColumn id="12" xr3:uid="{00000000-0010-0000-0500-00000C000000}" name="codComplicacion" dataDxfId="81"/>
    <tableColumn id="13" xr3:uid="{00000000-0010-0000-0500-00000D000000}" name="condicionDestinoUsuarioEgreso" dataDxfId="80"/>
    <tableColumn id="14" xr3:uid="{00000000-0010-0000-0500-00000E000000}" name="codDiagnosticoCausaMuerte" dataDxfId="79"/>
    <tableColumn id="15" xr3:uid="{00000000-0010-0000-0500-00000F000000}" name="fechaEgreso" dataDxfId="78"/>
    <tableColumn id="16" xr3:uid="{00000000-0010-0000-0500-000010000000}" name="consecutivo" dataDxfId="77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_reciennacidos" displayName="tb_reciennacidos" ref="A1:N2" totalsRowShown="0" headerRowDxfId="76" dataDxfId="75">
  <tableColumns count="14">
    <tableColumn id="1" xr3:uid="{00000000-0010-0000-0600-000001000000}" name="consecutivoUsuario" dataDxfId="74"/>
    <tableColumn id="2" xr3:uid="{00000000-0010-0000-0600-000002000000}" name="codPrestador" dataDxfId="73"/>
    <tableColumn id="3" xr3:uid="{00000000-0010-0000-0600-000003000000}" name="tipoDocumentoIdentificacion" dataDxfId="72"/>
    <tableColumn id="4" xr3:uid="{00000000-0010-0000-0600-000004000000}" name="numDocumentoIdentificacion" dataDxfId="71"/>
    <tableColumn id="5" xr3:uid="{00000000-0010-0000-0600-000005000000}" name="fechaNacimiento" dataDxfId="70"/>
    <tableColumn id="6" xr3:uid="{00000000-0010-0000-0600-000006000000}" name="edadGestacional" dataDxfId="69"/>
    <tableColumn id="7" xr3:uid="{00000000-0010-0000-0600-000007000000}" name="numConsultasCPrenatal" dataDxfId="68"/>
    <tableColumn id="8" xr3:uid="{00000000-0010-0000-0600-000008000000}" name="codSexoBiologico" dataDxfId="67"/>
    <tableColumn id="9" xr3:uid="{00000000-0010-0000-0600-000009000000}" name="peso" dataDxfId="66"/>
    <tableColumn id="10" xr3:uid="{00000000-0010-0000-0600-00000A000000}" name="codDiagnosticoPrincipal" dataDxfId="65"/>
    <tableColumn id="11" xr3:uid="{00000000-0010-0000-0600-00000B000000}" name="condicionDestinoUsuarioEgreso" dataDxfId="64"/>
    <tableColumn id="12" xr3:uid="{00000000-0010-0000-0600-00000C000000}" name="codDiagnosticoCausaMuerte" dataDxfId="63"/>
    <tableColumn id="13" xr3:uid="{00000000-0010-0000-0600-00000D000000}" name="fechaEgreso" dataDxfId="62"/>
    <tableColumn id="14" xr3:uid="{00000000-0010-0000-0600-00000E000000}" name="consecutivo" dataDxfId="6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_medicamentos" displayName="tb_medicamentos" ref="A1:X2" insertRow="1" totalsRowShown="0" headerRowDxfId="60" dataDxfId="59">
  <autoFilter ref="A1:X2" xr:uid="{00000000-0009-0000-0100-000008000000}"/>
  <tableColumns count="24">
    <tableColumn id="1" xr3:uid="{00000000-0010-0000-0700-000001000000}" name="consecutivoUsuario" dataDxfId="58"/>
    <tableColumn id="2" xr3:uid="{00000000-0010-0000-0700-000002000000}" name="codPrestador" dataDxfId="57"/>
    <tableColumn id="3" xr3:uid="{00000000-0010-0000-0700-000003000000}" name="numAutorizacion" dataDxfId="56"/>
    <tableColumn id="4" xr3:uid="{00000000-0010-0000-0700-000004000000}" name="idMIPRES" dataDxfId="55"/>
    <tableColumn id="5" xr3:uid="{00000000-0010-0000-0700-000005000000}" name="fechaDispensAdmon" dataDxfId="54"/>
    <tableColumn id="6" xr3:uid="{00000000-0010-0000-0700-000006000000}" name="codDiagnosticoPrincipal" dataDxfId="53"/>
    <tableColumn id="7" xr3:uid="{00000000-0010-0000-0700-000007000000}" name="codDiagnosticoRelacionado" dataDxfId="52"/>
    <tableColumn id="8" xr3:uid="{00000000-0010-0000-0700-000008000000}" name="tipoMedicamento" dataDxfId="51"/>
    <tableColumn id="9" xr3:uid="{00000000-0010-0000-0700-000009000000}" name="codTecnologiaSalud" dataDxfId="50"/>
    <tableColumn id="10" xr3:uid="{00000000-0010-0000-0700-00000A000000}" name="nomTecnologiaSalud" dataDxfId="49"/>
    <tableColumn id="11" xr3:uid="{00000000-0010-0000-0700-00000B000000}" name="concentracionMedicamento" dataDxfId="48"/>
    <tableColumn id="12" xr3:uid="{00000000-0010-0000-0700-00000C000000}" name="unidadMedida" dataDxfId="47"/>
    <tableColumn id="13" xr3:uid="{00000000-0010-0000-0700-00000D000000}" name="formaFarmaceutica" dataDxfId="46"/>
    <tableColumn id="14" xr3:uid="{00000000-0010-0000-0700-00000E000000}" name="unidadMinDispensa" dataDxfId="45"/>
    <tableColumn id="15" xr3:uid="{00000000-0010-0000-0700-00000F000000}" name="cantidadMedicamento" dataDxfId="44"/>
    <tableColumn id="16" xr3:uid="{00000000-0010-0000-0700-000010000000}" name="diasTratamiento" dataDxfId="43"/>
    <tableColumn id="17" xr3:uid="{00000000-0010-0000-0700-000011000000}" name="tipoDocumentoIdentificacion" dataDxfId="42"/>
    <tableColumn id="18" xr3:uid="{00000000-0010-0000-0700-000012000000}" name="numDocumentoIdentificacion" dataDxfId="41"/>
    <tableColumn id="19" xr3:uid="{00000000-0010-0000-0700-000013000000}" name="vrUnitMedicamento" dataDxfId="40"/>
    <tableColumn id="20" xr3:uid="{00000000-0010-0000-0700-000014000000}" name="vrServicio" dataDxfId="39"/>
    <tableColumn id="21" xr3:uid="{00000000-0010-0000-0700-000015000000}" name="conceptoRecaudo" dataDxfId="38"/>
    <tableColumn id="22" xr3:uid="{00000000-0010-0000-0700-000016000000}" name="valorPagoModerador" dataDxfId="37"/>
    <tableColumn id="23" xr3:uid="{00000000-0010-0000-0700-000017000000}" name="numFEVPagoModerador" dataDxfId="36"/>
    <tableColumn id="24" xr3:uid="{00000000-0010-0000-0700-000018000000}" name="consecutivo" dataDxfId="35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_otrosservicios" displayName="tb_otrosservicios" ref="A1:Q2" insertRow="1" totalsRowShown="0" headerRowDxfId="34" dataDxfId="33">
  <tableColumns count="17">
    <tableColumn id="1" xr3:uid="{00000000-0010-0000-0800-000001000000}" name="consecutivoUsuario" dataDxfId="32"/>
    <tableColumn id="2" xr3:uid="{00000000-0010-0000-0800-000002000000}" name="codPrestador" dataDxfId="31"/>
    <tableColumn id="3" xr3:uid="{00000000-0010-0000-0800-000003000000}" name="numAutorizacion" dataDxfId="30"/>
    <tableColumn id="4" xr3:uid="{00000000-0010-0000-0800-000004000000}" name="idMIPRES" dataDxfId="29"/>
    <tableColumn id="5" xr3:uid="{00000000-0010-0000-0800-000005000000}" name="fechaSuministroTecnologia" dataDxfId="28"/>
    <tableColumn id="6" xr3:uid="{00000000-0010-0000-0800-000006000000}" name="tipoOS" dataDxfId="27"/>
    <tableColumn id="7" xr3:uid="{00000000-0010-0000-0800-000007000000}" name="codTecnologiaSalud" dataDxfId="26"/>
    <tableColumn id="8" xr3:uid="{00000000-0010-0000-0800-000008000000}" name="nomTecnologiaSalud" dataDxfId="25"/>
    <tableColumn id="9" xr3:uid="{00000000-0010-0000-0800-000009000000}" name="cantidadOS" dataDxfId="24"/>
    <tableColumn id="10" xr3:uid="{00000000-0010-0000-0800-00000A000000}" name="tipoDocumentoIdentificacion" dataDxfId="23"/>
    <tableColumn id="11" xr3:uid="{00000000-0010-0000-0800-00000B000000}" name="numDocumentoIdentificacion" dataDxfId="22"/>
    <tableColumn id="12" xr3:uid="{00000000-0010-0000-0800-00000C000000}" name="vrUnitOS" dataDxfId="21"/>
    <tableColumn id="13" xr3:uid="{00000000-0010-0000-0800-00000D000000}" name="vrServicio" dataDxfId="20"/>
    <tableColumn id="14" xr3:uid="{00000000-0010-0000-0800-00000E000000}" name="conceptoRecaudo" dataDxfId="19"/>
    <tableColumn id="15" xr3:uid="{00000000-0010-0000-0800-00000F000000}" name="valorPagoModerador" dataDxfId="18"/>
    <tableColumn id="16" xr3:uid="{00000000-0010-0000-0800-000010000000}" name="numFEVPagoModerador" dataDxfId="17"/>
    <tableColumn id="17" xr3:uid="{00000000-0010-0000-0800-000011000000}" name="consecutivo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1"/>
  </sheetPr>
  <dimension ref="A1:N600"/>
  <sheetViews>
    <sheetView showGridLines="0" tabSelected="1" topLeftCell="A13" zoomScaleNormal="100" zoomScaleSheetLayoutView="100" workbookViewId="0">
      <selection activeCell="C6" sqref="C6:D6"/>
    </sheetView>
  </sheetViews>
  <sheetFormatPr baseColWidth="10" defaultColWidth="9.140625" defaultRowHeight="15" x14ac:dyDescent="0.25"/>
  <cols>
    <col min="1" max="1" width="1.42578125" customWidth="1"/>
    <col min="2" max="2" width="17" customWidth="1"/>
    <col min="3" max="3" width="8" customWidth="1"/>
    <col min="4" max="4" width="19" customWidth="1"/>
    <col min="5" max="5" width="4.28515625" customWidth="1"/>
    <col min="6" max="6" width="17.140625" customWidth="1"/>
    <col min="7" max="7" width="35.28515625" customWidth="1"/>
    <col min="8" max="8" width="9.28515625" customWidth="1"/>
    <col min="9" max="10" width="18.5703125" customWidth="1"/>
    <col min="11" max="11" width="1.42578125" customWidth="1"/>
    <col min="12" max="12" width="8.140625" customWidth="1"/>
    <col min="13" max="13" width="17.28515625" customWidth="1"/>
    <col min="14" max="14" width="13.7109375" customWidth="1"/>
    <col min="15" max="15" width="13" bestFit="1" customWidth="1"/>
  </cols>
  <sheetData>
    <row r="1" spans="1:14" s="17" customFormat="1" ht="18.75" x14ac:dyDescent="0.25">
      <c r="A1" s="16"/>
      <c r="I1" s="18"/>
    </row>
    <row r="2" spans="1:14" s="17" customFormat="1" ht="15" customHeight="1" x14ac:dyDescent="0.25">
      <c r="I2" s="18"/>
    </row>
    <row r="3" spans="1:14" x14ac:dyDescent="0.25">
      <c r="E3" s="11"/>
    </row>
    <row r="4" spans="1:14" x14ac:dyDescent="0.25">
      <c r="E4" s="12"/>
    </row>
    <row r="5" spans="1:14" x14ac:dyDescent="0.25">
      <c r="B5" s="19" t="s">
        <v>80</v>
      </c>
      <c r="C5" s="53"/>
      <c r="D5" s="53"/>
      <c r="E5" s="13"/>
      <c r="F5" s="15" t="str">
        <f>"ITEMS : "&amp;COUNTA($F$8:$F$350)</f>
        <v>ITEMS : 0</v>
      </c>
      <c r="I5" s="13" t="s">
        <v>65</v>
      </c>
      <c r="J5" s="35">
        <f>SUM(J8:J300)</f>
        <v>0</v>
      </c>
      <c r="L5" s="13" t="s">
        <v>65</v>
      </c>
      <c r="M5" s="36">
        <f>SUM(M8:M300)</f>
        <v>0</v>
      </c>
    </row>
    <row r="6" spans="1:14" x14ac:dyDescent="0.25">
      <c r="B6" s="19" t="s">
        <v>81</v>
      </c>
      <c r="C6" s="55">
        <f>transaccion!B2</f>
        <v>0</v>
      </c>
      <c r="D6" s="55"/>
      <c r="E6" s="14"/>
      <c r="I6" s="37" t="s">
        <v>86</v>
      </c>
      <c r="J6" s="36">
        <v>0</v>
      </c>
      <c r="L6" s="37" t="s">
        <v>87</v>
      </c>
      <c r="M6" s="35">
        <f>D33</f>
        <v>0</v>
      </c>
    </row>
    <row r="7" spans="1:14" x14ac:dyDescent="0.25">
      <c r="E7" s="14"/>
      <c r="F7" s="20" t="s">
        <v>67</v>
      </c>
      <c r="G7" s="20" t="s">
        <v>79</v>
      </c>
      <c r="H7" s="22" t="s">
        <v>78</v>
      </c>
      <c r="I7" s="20" t="s">
        <v>68</v>
      </c>
      <c r="J7" s="20" t="s">
        <v>69</v>
      </c>
      <c r="L7" s="28" t="s">
        <v>78</v>
      </c>
      <c r="M7" s="28" t="s">
        <v>69</v>
      </c>
      <c r="N7" s="33"/>
    </row>
    <row r="8" spans="1:14" x14ac:dyDescent="0.25">
      <c r="B8" s="19" t="s">
        <v>83</v>
      </c>
      <c r="C8" s="54">
        <v>0</v>
      </c>
      <c r="D8" s="54"/>
      <c r="E8" s="14"/>
      <c r="F8" s="30"/>
      <c r="G8" s="31"/>
      <c r="H8" s="38"/>
      <c r="I8" s="32"/>
      <c r="J8" s="32"/>
      <c r="L8" s="11" t="str">
        <f>IF(F8&lt;&gt;"",IF(COUNTIF(tb_consultas[codConsulta],F8)&gt;0,COUNTIF(tb_consultas[codConsulta],F8),IF(COUNTIF(tb_procedimientos[codProcedimiento],F8),COUNTIF(tb_procedimientos[codProcedimiento],F8),IF(COUNTIF(tb_medicamentos[codTecnologiaSalud],F8)&gt;0,SUMIF(tb_medicamentos[codTecnologiaSalud],F8,tb_medicamentos[cantidadMedicamento]),IF(COUNTIF(tb_otrosservicios[codTecnologiaSalud],F8)&gt;0,SUMIF(tb_otrosservicios[codTecnologiaSalud],F8,tb_otrosservicios[cantidadOS]),)))),"")</f>
        <v/>
      </c>
      <c r="M8" s="26" t="str">
        <f>IF(F8&lt;&gt;"",IF(COUNTIF(tb_consultas[codConsulta],F8)&gt;0,SUMIF(tb_consultas[codConsulta],F8,tb_consultas[vrServicio]),IF(COUNTIF(tb_procedimientos[codProcedimiento],F8),SUMIF(tb_procedimientos[codProcedimiento],F8,tb_procedimientos[vrServicio]),IF(COUNTIF(tb_medicamentos[codTecnologiaSalud],F8)&gt;0,SUMIF(tb_medicamentos[codTecnologiaSalud],F8,tb_medicamentos[vrServicio]),IF(COUNTIF(tb_otrosservicios[codTecnologiaSalud],F8)&gt;0,SUMIF(tb_otrosservicios[codTecnologiaSalud],F8,tb_otrosservicios[vrServicio]),)))),"")</f>
        <v/>
      </c>
      <c r="N8" s="33"/>
    </row>
    <row r="9" spans="1:14" x14ac:dyDescent="0.25">
      <c r="B9" s="19" t="s">
        <v>84</v>
      </c>
      <c r="C9" s="51">
        <f>D24</f>
        <v>0</v>
      </c>
      <c r="D9" s="51"/>
      <c r="E9" s="14"/>
      <c r="F9" s="30"/>
      <c r="G9" s="31"/>
      <c r="H9" s="38"/>
      <c r="I9" s="32"/>
      <c r="J9" s="32"/>
      <c r="L9" s="11" t="str">
        <f>IF(F9&lt;&gt;"",IF(COUNTIF(tb_consultas[codConsulta],F9)&gt;0,COUNTIF(tb_consultas[codConsulta],F9),IF(COUNTIF(tb_procedimientos[codProcedimiento],F9),COUNTIF(tb_procedimientos[codProcedimiento],F9),IF(COUNTIF(tb_medicamentos[codTecnologiaSalud],F9)&gt;0,SUMIF(tb_medicamentos[codTecnologiaSalud],F9,tb_medicamentos[cantidadMedicamento]),IF(COUNTIF(tb_otrosservicios[codTecnologiaSalud],F9)&gt;0,SUMIF(tb_otrosservicios[codTecnologiaSalud],F9,tb_otrosservicios[cantidadOS]),)))),"")</f>
        <v/>
      </c>
      <c r="M9" s="26" t="str">
        <f>IF(F9&lt;&gt;"",IF(COUNTIF(tb_consultas[codConsulta],F9)&gt;0,SUMIF(tb_consultas[codConsulta],F9,tb_consultas[vrServicio]),IF(COUNTIF(tb_procedimientos[codProcedimiento],F9),SUMIF(tb_procedimientos[codProcedimiento],F9,tb_procedimientos[vrServicio]),IF(COUNTIF(tb_medicamentos[codTecnologiaSalud],F9)&gt;0,SUMIF(tb_medicamentos[codTecnologiaSalud],F9,tb_medicamentos[vrServicio]),IF(COUNTIF(tb_otrosservicios[codTecnologiaSalud],F9)&gt;0,SUMIF(tb_otrosservicios[codTecnologiaSalud],F9,tb_otrosservicios[vrServicio]),)))),"")</f>
        <v/>
      </c>
      <c r="N9" s="33"/>
    </row>
    <row r="10" spans="1:14" x14ac:dyDescent="0.25">
      <c r="E10" s="14"/>
      <c r="F10" s="30"/>
      <c r="G10" s="31"/>
      <c r="H10" s="38"/>
      <c r="I10" s="32"/>
      <c r="J10" s="32"/>
      <c r="L10" s="11" t="str">
        <f>IF(F10&lt;&gt;"",IF(COUNTIF(tb_consultas[codConsulta],F10)&gt;0,COUNTIF(tb_consultas[codConsulta],F10),IF(COUNTIF(tb_procedimientos[codProcedimiento],F10),COUNTIF(tb_procedimientos[codProcedimiento],F10),IF(COUNTIF(tb_medicamentos[codTecnologiaSalud],F10)&gt;0,SUMIF(tb_medicamentos[codTecnologiaSalud],F10,tb_medicamentos[cantidadMedicamento]),IF(COUNTIF(tb_otrosservicios[codTecnologiaSalud],F10)&gt;0,SUMIF(tb_otrosservicios[codTecnologiaSalud],F10,tb_otrosservicios[cantidadOS]),)))),"")</f>
        <v/>
      </c>
      <c r="M10" s="26" t="str">
        <f>IF(F10&lt;&gt;"",IF(COUNTIF(tb_consultas[codConsulta],F10)&gt;0,SUMIF(tb_consultas[codConsulta],F10,tb_consultas[vrServicio]),IF(COUNTIF(tb_procedimientos[codProcedimiento],F10),SUMIF(tb_procedimientos[codProcedimiento],F10,tb_procedimientos[vrServicio]),IF(COUNTIF(tb_medicamentos[codTecnologiaSalud],F10)&gt;0,SUMIF(tb_medicamentos[codTecnologiaSalud],F10,tb_medicamentos[vrServicio]),IF(COUNTIF(tb_otrosservicios[codTecnologiaSalud],F10)&gt;0,SUMIF(tb_otrosservicios[codTecnologiaSalud],F10,tb_otrosservicios[vrServicio]),)))),"")</f>
        <v/>
      </c>
      <c r="N10" s="33"/>
    </row>
    <row r="11" spans="1:14" x14ac:dyDescent="0.25">
      <c r="B11" s="23" t="s">
        <v>85</v>
      </c>
      <c r="C11" s="52">
        <f>C8-C9</f>
        <v>0</v>
      </c>
      <c r="D11" s="52"/>
      <c r="E11" s="14"/>
      <c r="F11" s="30"/>
      <c r="G11" s="31"/>
      <c r="H11" s="38"/>
      <c r="I11" s="32"/>
      <c r="J11" s="32"/>
      <c r="L11" s="11" t="str">
        <f>IF(F11&lt;&gt;"",IF(COUNTIF(tb_consultas[codConsulta],F11)&gt;0,COUNTIF(tb_consultas[codConsulta],F11),IF(COUNTIF(tb_procedimientos[codProcedimiento],F11),COUNTIF(tb_procedimientos[codProcedimiento],F11),IF(COUNTIF(tb_medicamentos[codTecnologiaSalud],F11)&gt;0,SUMIF(tb_medicamentos[codTecnologiaSalud],F11,tb_medicamentos[cantidadMedicamento]),IF(COUNTIF(tb_otrosservicios[codTecnologiaSalud],F11)&gt;0,SUMIF(tb_otrosservicios[codTecnologiaSalud],F11,tb_otrosservicios[cantidadOS]),)))),"")</f>
        <v/>
      </c>
      <c r="M11" s="26" t="str">
        <f>IF(F11&lt;&gt;"",IF(COUNTIF(tb_consultas[codConsulta],F11)&gt;0,SUMIF(tb_consultas[codConsulta],F11,tb_consultas[vrServicio]),IF(COUNTIF(tb_procedimientos[codProcedimiento],F11),SUMIF(tb_procedimientos[codProcedimiento],F11,tb_procedimientos[vrServicio]),IF(COUNTIF(tb_medicamentos[codTecnologiaSalud],F11)&gt;0,SUMIF(tb_medicamentos[codTecnologiaSalud],F11,tb_medicamentos[vrServicio]),IF(COUNTIF(tb_otrosservicios[codTecnologiaSalud],F11)&gt;0,SUMIF(tb_otrosservicios[codTecnologiaSalud],F11,tb_otrosservicios[vrServicio]),)))),"")</f>
        <v/>
      </c>
      <c r="N11" s="33"/>
    </row>
    <row r="12" spans="1:14" x14ac:dyDescent="0.25">
      <c r="E12" s="14"/>
      <c r="F12" s="30"/>
      <c r="G12" s="31"/>
      <c r="H12" s="38"/>
      <c r="I12" s="32"/>
      <c r="J12" s="32"/>
      <c r="L12" s="11" t="str">
        <f>IF(F12&lt;&gt;"",IF(COUNTIF(tb_consultas[codConsulta],F12)&gt;0,COUNTIF(tb_consultas[codConsulta],F12),IF(COUNTIF(tb_procedimientos[codProcedimiento],F12),COUNTIF(tb_procedimientos[codProcedimiento],F12),IF(COUNTIF(tb_medicamentos[codTecnologiaSalud],F12)&gt;0,SUMIF(tb_medicamentos[codTecnologiaSalud],F12,tb_medicamentos[cantidadMedicamento]),IF(COUNTIF(tb_otrosservicios[codTecnologiaSalud],F12)&gt;0,SUMIF(tb_otrosservicios[codTecnologiaSalud],F12,tb_otrosservicios[cantidadOS]),)))),"")</f>
        <v/>
      </c>
      <c r="M12" s="26" t="str">
        <f>IF(F12&lt;&gt;"",IF(COUNTIF(tb_consultas[codConsulta],F12)&gt;0,SUMIF(tb_consultas[codConsulta],F12,tb_consultas[vrServicio]),IF(COUNTIF(tb_procedimientos[codProcedimiento],F12),SUMIF(tb_procedimientos[codProcedimiento],F12,tb_procedimientos[vrServicio]),IF(COUNTIF(tb_medicamentos[codTecnologiaSalud],F12)&gt;0,SUMIF(tb_medicamentos[codTecnologiaSalud],F12,tb_medicamentos[vrServicio]),IF(COUNTIF(tb_otrosservicios[codTecnologiaSalud],F12)&gt;0,SUMIF(tb_otrosservicios[codTecnologiaSalud],F12,tb_otrosservicios[vrServicio]),)))),"")</f>
        <v/>
      </c>
      <c r="N12" s="33"/>
    </row>
    <row r="13" spans="1:14" x14ac:dyDescent="0.25">
      <c r="E13" s="14"/>
      <c r="F13" s="30"/>
      <c r="G13" s="31"/>
      <c r="H13" s="38"/>
      <c r="I13" s="32"/>
      <c r="J13" s="32"/>
      <c r="L13" s="11" t="str">
        <f>IF(F13&lt;&gt;"",IF(COUNTIF(tb_consultas[codConsulta],F13)&gt;0,COUNTIF(tb_consultas[codConsulta],F13),IF(COUNTIF(tb_procedimientos[codProcedimiento],F13),COUNTIF(tb_procedimientos[codProcedimiento],F13),IF(COUNTIF(tb_medicamentos[codTecnologiaSalud],F13)&gt;0,SUMIF(tb_medicamentos[codTecnologiaSalud],F13,tb_medicamentos[cantidadMedicamento]),IF(COUNTIF(tb_otrosservicios[codTecnologiaSalud],F13)&gt;0,SUMIF(tb_otrosservicios[codTecnologiaSalud],F13,tb_otrosservicios[cantidadOS]),)))),"")</f>
        <v/>
      </c>
      <c r="M13" s="26" t="str">
        <f>IF(F13&lt;&gt;"",IF(COUNTIF(tb_consultas[codConsulta],F13)&gt;0,SUMIF(tb_consultas[codConsulta],F13,tb_consultas[vrServicio]),IF(COUNTIF(tb_procedimientos[codProcedimiento],F13),SUMIF(tb_procedimientos[codProcedimiento],F13,tb_procedimientos[vrServicio]),IF(COUNTIF(tb_medicamentos[codTecnologiaSalud],F13)&gt;0,SUMIF(tb_medicamentos[codTecnologiaSalud],F13,tb_medicamentos[vrServicio]),IF(COUNTIF(tb_otrosservicios[codTecnologiaSalud],F13)&gt;0,SUMIF(tb_otrosservicios[codTecnologiaSalud],F13,tb_otrosservicios[vrServicio]),)))),"")</f>
        <v/>
      </c>
      <c r="N13" s="33"/>
    </row>
    <row r="14" spans="1:14" x14ac:dyDescent="0.25">
      <c r="F14" s="30"/>
      <c r="G14" s="31"/>
      <c r="H14" s="38"/>
      <c r="I14" s="32"/>
      <c r="J14" s="32"/>
      <c r="L14" s="11" t="str">
        <f>IF(F14&lt;&gt;"",IF(COUNTIF(tb_consultas[codConsulta],F14)&gt;0,COUNTIF(tb_consultas[codConsulta],F14),IF(COUNTIF(tb_procedimientos[codProcedimiento],F14),COUNTIF(tb_procedimientos[codProcedimiento],F14),IF(COUNTIF(tb_medicamentos[codTecnologiaSalud],F14)&gt;0,SUMIF(tb_medicamentos[codTecnologiaSalud],F14,tb_medicamentos[cantidadMedicamento]),IF(COUNTIF(tb_otrosservicios[codTecnologiaSalud],F14)&gt;0,SUMIF(tb_otrosservicios[codTecnologiaSalud],F14,tb_otrosservicios[cantidadOS]),)))),"")</f>
        <v/>
      </c>
      <c r="M14" s="26" t="str">
        <f>IF(F14&lt;&gt;"",IF(COUNTIF(tb_consultas[codConsulta],F14)&gt;0,SUMIF(tb_consultas[codConsulta],F14,tb_consultas[vrServicio]),IF(COUNTIF(tb_procedimientos[codProcedimiento],F14),SUMIF(tb_procedimientos[codProcedimiento],F14,tb_procedimientos[vrServicio]),IF(COUNTIF(tb_medicamentos[codTecnologiaSalud],F14)&gt;0,SUMIF(tb_medicamentos[codTecnologiaSalud],F14,tb_medicamentos[vrServicio]),IF(COUNTIF(tb_otrosservicios[codTecnologiaSalud],F14)&gt;0,SUMIF(tb_otrosservicios[codTecnologiaSalud],F14,tb_otrosservicios[vrServicio]),)))),"")</f>
        <v/>
      </c>
      <c r="N14" s="33"/>
    </row>
    <row r="15" spans="1:14" x14ac:dyDescent="0.25">
      <c r="B15" s="20" t="s">
        <v>82</v>
      </c>
      <c r="C15" s="22" t="s">
        <v>78</v>
      </c>
      <c r="D15" s="21" t="s">
        <v>69</v>
      </c>
      <c r="F15" s="30"/>
      <c r="G15" s="31"/>
      <c r="H15" s="38"/>
      <c r="I15" s="32"/>
      <c r="J15" s="32"/>
      <c r="L15" s="11" t="str">
        <f>IF(F15&lt;&gt;"",IF(COUNTIF(tb_consultas[codConsulta],F15)&gt;0,COUNTIF(tb_consultas[codConsulta],F15),IF(COUNTIF(tb_procedimientos[codProcedimiento],F15),COUNTIF(tb_procedimientos[codProcedimiento],F15),IF(COUNTIF(tb_medicamentos[codTecnologiaSalud],F15)&gt;0,SUMIF(tb_medicamentos[codTecnologiaSalud],F15,tb_medicamentos[cantidadMedicamento]),IF(COUNTIF(tb_otrosservicios[codTecnologiaSalud],F15)&gt;0,SUMIF(tb_otrosservicios[codTecnologiaSalud],F15,tb_otrosservicios[cantidadOS]),)))),"")</f>
        <v/>
      </c>
      <c r="M15" s="26" t="str">
        <f>IF(F15&lt;&gt;"",IF(COUNTIF(tb_consultas[codConsulta],F15)&gt;0,SUMIF(tb_consultas[codConsulta],F15,tb_consultas[vrServicio]),IF(COUNTIF(tb_procedimientos[codProcedimiento],F15),SUMIF(tb_procedimientos[codProcedimiento],F15,tb_procedimientos[vrServicio]),IF(COUNTIF(tb_medicamentos[codTecnologiaSalud],F15)&gt;0,SUMIF(tb_medicamentos[codTecnologiaSalud],F15,tb_medicamentos[vrServicio]),IF(COUNTIF(tb_otrosservicios[codTecnologiaSalud],F15)&gt;0,SUMIF(tb_otrosservicios[codTecnologiaSalud],F15,tb_otrosservicios[vrServicio]),)))),"")</f>
        <v/>
      </c>
      <c r="N15" s="33"/>
    </row>
    <row r="16" spans="1:14" x14ac:dyDescent="0.25">
      <c r="B16" s="8" t="s">
        <v>71</v>
      </c>
      <c r="C16" s="5">
        <f>COUNTA(tb_usuarios[consecutivo])</f>
        <v>0</v>
      </c>
      <c r="D16" s="6">
        <v>0</v>
      </c>
      <c r="F16" s="30"/>
      <c r="G16" s="31"/>
      <c r="H16" s="38"/>
      <c r="I16" s="32"/>
      <c r="J16" s="32"/>
      <c r="L16" s="11" t="str">
        <f>IF(F16&lt;&gt;"",IF(COUNTIF(tb_consultas[codConsulta],F16)&gt;0,COUNTIF(tb_consultas[codConsulta],F16),IF(COUNTIF(tb_procedimientos[codProcedimiento],F16),COUNTIF(tb_procedimientos[codProcedimiento],F16),IF(COUNTIF(tb_medicamentos[codTecnologiaSalud],F16)&gt;0,SUMIF(tb_medicamentos[codTecnologiaSalud],F16,tb_medicamentos[cantidadMedicamento]),IF(COUNTIF(tb_otrosservicios[codTecnologiaSalud],F16)&gt;0,SUMIF(tb_otrosservicios[codTecnologiaSalud],F16,tb_otrosservicios[cantidadOS]),)))),"")</f>
        <v/>
      </c>
      <c r="M16" s="26" t="str">
        <f>IF(F16&lt;&gt;"",IF(COUNTIF(tb_consultas[codConsulta],F16)&gt;0,SUMIF(tb_consultas[codConsulta],F16,tb_consultas[vrServicio]),IF(COUNTIF(tb_procedimientos[codProcedimiento],F16),SUMIF(tb_procedimientos[codProcedimiento],F16,tb_procedimientos[vrServicio]),IF(COUNTIF(tb_medicamentos[codTecnologiaSalud],F16)&gt;0,SUMIF(tb_medicamentos[codTecnologiaSalud],F16,tb_medicamentos[vrServicio]),IF(COUNTIF(tb_otrosservicios[codTecnologiaSalud],F16)&gt;0,SUMIF(tb_otrosservicios[codTecnologiaSalud],F16,tb_otrosservicios[vrServicio]),)))),"")</f>
        <v/>
      </c>
      <c r="N16" s="33"/>
    </row>
    <row r="17" spans="2:14" x14ac:dyDescent="0.25">
      <c r="B17" s="8" t="s">
        <v>72</v>
      </c>
      <c r="C17" s="5">
        <f>COUNTA(tb_consultas[consecutivo])</f>
        <v>0</v>
      </c>
      <c r="D17" s="6">
        <f>SUM(tb_consultas[vrServicio])</f>
        <v>0</v>
      </c>
      <c r="E17" s="15"/>
      <c r="F17" s="30"/>
      <c r="G17" s="31"/>
      <c r="H17" s="38"/>
      <c r="I17" s="32"/>
      <c r="J17" s="32"/>
      <c r="L17" s="11" t="str">
        <f>IF(F17&lt;&gt;"",IF(COUNTIF(tb_consultas[codConsulta],F17)&gt;0,COUNTIF(tb_consultas[codConsulta],F17),IF(COUNTIF(tb_procedimientos[codProcedimiento],F17),COUNTIF(tb_procedimientos[codProcedimiento],F17),IF(COUNTIF(tb_medicamentos[codTecnologiaSalud],F17)&gt;0,SUMIF(tb_medicamentos[codTecnologiaSalud],F17,tb_medicamentos[cantidadMedicamento]),IF(COUNTIF(tb_otrosservicios[codTecnologiaSalud],F17)&gt;0,SUMIF(tb_otrosservicios[codTecnologiaSalud],F17,tb_otrosservicios[cantidadOS]),)))),"")</f>
        <v/>
      </c>
      <c r="M17" s="26" t="str">
        <f>IF(F17&lt;&gt;"",IF(COUNTIF(tb_consultas[codConsulta],F17)&gt;0,SUMIF(tb_consultas[codConsulta],F17,tb_consultas[vrServicio]),IF(COUNTIF(tb_procedimientos[codProcedimiento],F17),SUMIF(tb_procedimientos[codProcedimiento],F17,tb_procedimientos[vrServicio]),IF(COUNTIF(tb_medicamentos[codTecnologiaSalud],F17)&gt;0,SUMIF(tb_medicamentos[codTecnologiaSalud],F17,tb_medicamentos[vrServicio]),IF(COUNTIF(tb_otrosservicios[codTecnologiaSalud],F17)&gt;0,SUMIF(tb_otrosservicios[codTecnologiaSalud],F17,tb_otrosservicios[vrServicio]),)))),"")</f>
        <v/>
      </c>
      <c r="N17" s="33"/>
    </row>
    <row r="18" spans="2:14" x14ac:dyDescent="0.25">
      <c r="B18" s="8" t="s">
        <v>73</v>
      </c>
      <c r="C18" s="5">
        <f>COUNTA(tb_urgencias[consecutivo])</f>
        <v>0</v>
      </c>
      <c r="D18" s="6">
        <v>0</v>
      </c>
      <c r="E18" s="2"/>
      <c r="F18" s="30"/>
      <c r="G18" s="31"/>
      <c r="H18" s="38"/>
      <c r="I18" s="32"/>
      <c r="J18" s="32"/>
      <c r="K18" s="11"/>
      <c r="L18" s="11" t="str">
        <f>IF(F18&lt;&gt;"",IF(COUNTIF(tb_consultas[codConsulta],F18)&gt;0,COUNTIF(tb_consultas[codConsulta],F18),IF(COUNTIF(tb_procedimientos[codProcedimiento],F18),COUNTIF(tb_procedimientos[codProcedimiento],F18),IF(COUNTIF(tb_medicamentos[codTecnologiaSalud],F18)&gt;0,SUMIF(tb_medicamentos[codTecnologiaSalud],F18,tb_medicamentos[cantidadMedicamento]),IF(COUNTIF(tb_otrosservicios[codTecnologiaSalud],F18)&gt;0,SUMIF(tb_otrosservicios[codTecnologiaSalud],F18,tb_otrosservicios[cantidadOS]),)))),"")</f>
        <v/>
      </c>
      <c r="M18" s="26" t="str">
        <f>IF(F18&lt;&gt;"",IF(COUNTIF(tb_consultas[codConsulta],F18)&gt;0,SUMIF(tb_consultas[codConsulta],F18,tb_consultas[vrServicio]),IF(COUNTIF(tb_procedimientos[codProcedimiento],F18),SUMIF(tb_procedimientos[codProcedimiento],F18,tb_procedimientos[vrServicio]),IF(COUNTIF(tb_medicamentos[codTecnologiaSalud],F18)&gt;0,SUMIF(tb_medicamentos[codTecnologiaSalud],F18,tb_medicamentos[vrServicio]),IF(COUNTIF(tb_otrosservicios[codTecnologiaSalud],F18)&gt;0,SUMIF(tb_otrosservicios[codTecnologiaSalud],F18,tb_otrosservicios[vrServicio]),)))),"")</f>
        <v/>
      </c>
      <c r="N18" s="33"/>
    </row>
    <row r="19" spans="2:14" x14ac:dyDescent="0.25">
      <c r="B19" s="8" t="s">
        <v>66</v>
      </c>
      <c r="C19" s="5">
        <f>COUNTA(tb_procedimientos[consecutivo])</f>
        <v>0</v>
      </c>
      <c r="D19" s="6">
        <f>SUM(tb_procedimientos[vrServicio])</f>
        <v>0</v>
      </c>
      <c r="E19" s="2"/>
      <c r="F19" s="30"/>
      <c r="G19" s="31"/>
      <c r="H19" s="38"/>
      <c r="I19" s="32"/>
      <c r="J19" s="32"/>
      <c r="K19" s="11"/>
      <c r="L19" s="11" t="str">
        <f>IF(F19&lt;&gt;"",IF(COUNTIF(tb_consultas[codConsulta],F19)&gt;0,COUNTIF(tb_consultas[codConsulta],F19),IF(COUNTIF(tb_procedimientos[codProcedimiento],F19),COUNTIF(tb_procedimientos[codProcedimiento],F19),IF(COUNTIF(tb_medicamentos[codTecnologiaSalud],F19)&gt;0,SUMIF(tb_medicamentos[codTecnologiaSalud],F19,tb_medicamentos[cantidadMedicamento]),IF(COUNTIF(tb_otrosservicios[codTecnologiaSalud],F19)&gt;0,SUMIF(tb_otrosservicios[codTecnologiaSalud],F19,tb_otrosservicios[cantidadOS]),)))),"")</f>
        <v/>
      </c>
      <c r="M19" s="26" t="str">
        <f>IF(F19&lt;&gt;"",IF(COUNTIF(tb_consultas[codConsulta],F19)&gt;0,SUMIF(tb_consultas[codConsulta],F19,tb_consultas[vrServicio]),IF(COUNTIF(tb_procedimientos[codProcedimiento],F19),SUMIF(tb_procedimientos[codProcedimiento],F19,tb_procedimientos[vrServicio]),IF(COUNTIF(tb_medicamentos[codTecnologiaSalud],F19)&gt;0,SUMIF(tb_medicamentos[codTecnologiaSalud],F19,tb_medicamentos[vrServicio]),IF(COUNTIF(tb_otrosservicios[codTecnologiaSalud],F19)&gt;0,SUMIF(tb_otrosservicios[codTecnologiaSalud],F19,tb_otrosservicios[vrServicio]),)))),"")</f>
        <v/>
      </c>
      <c r="N19" s="33"/>
    </row>
    <row r="20" spans="2:14" x14ac:dyDescent="0.25">
      <c r="B20" s="8" t="s">
        <v>74</v>
      </c>
      <c r="C20" s="5">
        <f>COUNTA(tb_hospitalizacion[consecutivo])</f>
        <v>0</v>
      </c>
      <c r="D20" s="6">
        <v>0</v>
      </c>
      <c r="E20" s="2"/>
      <c r="F20" s="30"/>
      <c r="G20" s="31"/>
      <c r="H20" s="38"/>
      <c r="I20" s="32"/>
      <c r="J20" s="32"/>
      <c r="K20" s="11"/>
      <c r="L20" s="11" t="str">
        <f>IF(F20&lt;&gt;"",IF(COUNTIF(tb_consultas[codConsulta],F20)&gt;0,COUNTIF(tb_consultas[codConsulta],F20),IF(COUNTIF(tb_procedimientos[codProcedimiento],F20),COUNTIF(tb_procedimientos[codProcedimiento],F20),IF(COUNTIF(tb_medicamentos[codTecnologiaSalud],F20)&gt;0,SUMIF(tb_medicamentos[codTecnologiaSalud],F20,tb_medicamentos[cantidadMedicamento]),IF(COUNTIF(tb_otrosservicios[codTecnologiaSalud],F20)&gt;0,SUMIF(tb_otrosservicios[codTecnologiaSalud],F20,tb_otrosservicios[cantidadOS]),)))),"")</f>
        <v/>
      </c>
      <c r="M20" s="26" t="str">
        <f>IF(F20&lt;&gt;"",IF(COUNTIF(tb_consultas[codConsulta],F20)&gt;0,SUMIF(tb_consultas[codConsulta],F20,tb_consultas[vrServicio]),IF(COUNTIF(tb_procedimientos[codProcedimiento],F20),SUMIF(tb_procedimientos[codProcedimiento],F20,tb_procedimientos[vrServicio]),IF(COUNTIF(tb_medicamentos[codTecnologiaSalud],F20)&gt;0,SUMIF(tb_medicamentos[codTecnologiaSalud],F20,tb_medicamentos[vrServicio]),IF(COUNTIF(tb_otrosservicios[codTecnologiaSalud],F20)&gt;0,SUMIF(tb_otrosservicios[codTecnologiaSalud],F20,tb_otrosservicios[vrServicio]),)))),"")</f>
        <v/>
      </c>
      <c r="N20" s="33"/>
    </row>
    <row r="21" spans="2:14" x14ac:dyDescent="0.25">
      <c r="B21" s="8" t="s">
        <v>75</v>
      </c>
      <c r="C21" s="5">
        <f>COUNTA(tb_reciennacidos[consecutivo])</f>
        <v>0</v>
      </c>
      <c r="D21" s="6">
        <v>0</v>
      </c>
      <c r="E21" s="2"/>
      <c r="F21" s="30"/>
      <c r="G21" s="31"/>
      <c r="H21" s="38"/>
      <c r="I21" s="32"/>
      <c r="J21" s="32"/>
      <c r="K21" s="11"/>
      <c r="L21" s="11" t="str">
        <f>IF(F21&lt;&gt;"",IF(COUNTIF(tb_consultas[codConsulta],F21)&gt;0,COUNTIF(tb_consultas[codConsulta],F21),IF(COUNTIF(tb_procedimientos[codProcedimiento],F21),COUNTIF(tb_procedimientos[codProcedimiento],F21),IF(COUNTIF(tb_medicamentos[codTecnologiaSalud],F21)&gt;0,SUMIF(tb_medicamentos[codTecnologiaSalud],F21,tb_medicamentos[cantidadMedicamento]),IF(COUNTIF(tb_otrosservicios[codTecnologiaSalud],F21)&gt;0,SUMIF(tb_otrosservicios[codTecnologiaSalud],F21,tb_otrosservicios[cantidadOS]),)))),"")</f>
        <v/>
      </c>
      <c r="M21" s="26" t="str">
        <f>IF(F21&lt;&gt;"",IF(COUNTIF(tb_consultas[codConsulta],F21)&gt;0,SUMIF(tb_consultas[codConsulta],F21,tb_consultas[vrServicio]),IF(COUNTIF(tb_procedimientos[codProcedimiento],F21),SUMIF(tb_procedimientos[codProcedimiento],F21,tb_procedimientos[vrServicio]),IF(COUNTIF(tb_medicamentos[codTecnologiaSalud],F21)&gt;0,SUMIF(tb_medicamentos[codTecnologiaSalud],F21,tb_medicamentos[vrServicio]),IF(COUNTIF(tb_otrosservicios[codTecnologiaSalud],F21)&gt;0,SUMIF(tb_otrosservicios[codTecnologiaSalud],F21,tb_otrosservicios[vrServicio]),)))),"")</f>
        <v/>
      </c>
      <c r="N21" s="33"/>
    </row>
    <row r="22" spans="2:14" x14ac:dyDescent="0.25">
      <c r="B22" s="8" t="s">
        <v>76</v>
      </c>
      <c r="C22" s="5">
        <f>COUNTA(tb_medicamentos[consecutivo])</f>
        <v>0</v>
      </c>
      <c r="D22" s="6">
        <f>SUM(tb_medicamentos[vrServicio])</f>
        <v>0</v>
      </c>
      <c r="E22" s="2"/>
      <c r="F22" s="30"/>
      <c r="G22" s="31"/>
      <c r="H22" s="38"/>
      <c r="I22" s="32"/>
      <c r="J22" s="32"/>
      <c r="K22" s="11"/>
      <c r="L22" s="11" t="str">
        <f>IF(F22&lt;&gt;"",IF(COUNTIF(tb_consultas[codConsulta],F22)&gt;0,COUNTIF(tb_consultas[codConsulta],F22),IF(COUNTIF(tb_procedimientos[codProcedimiento],F22),COUNTIF(tb_procedimientos[codProcedimiento],F22),IF(COUNTIF(tb_medicamentos[codTecnologiaSalud],F22)&gt;0,SUMIF(tb_medicamentos[codTecnologiaSalud],F22,tb_medicamentos[cantidadMedicamento]),IF(COUNTIF(tb_otrosservicios[codTecnologiaSalud],F22)&gt;0,SUMIF(tb_otrosservicios[codTecnologiaSalud],F22,tb_otrosservicios[cantidadOS]),)))),"")</f>
        <v/>
      </c>
      <c r="M22" s="26" t="str">
        <f>IF(F22&lt;&gt;"",IF(COUNTIF(tb_consultas[codConsulta],F22)&gt;0,SUMIF(tb_consultas[codConsulta],F22,tb_consultas[vrServicio]),IF(COUNTIF(tb_procedimientos[codProcedimiento],F22),SUMIF(tb_procedimientos[codProcedimiento],F22,tb_procedimientos[vrServicio]),IF(COUNTIF(tb_medicamentos[codTecnologiaSalud],F22)&gt;0,SUMIF(tb_medicamentos[codTecnologiaSalud],F22,tb_medicamentos[vrServicio]),IF(COUNTIF(tb_otrosservicios[codTecnologiaSalud],F22)&gt;0,SUMIF(tb_otrosservicios[codTecnologiaSalud],F22,tb_otrosservicios[vrServicio]),)))),"")</f>
        <v/>
      </c>
      <c r="N22" s="33"/>
    </row>
    <row r="23" spans="2:14" x14ac:dyDescent="0.25">
      <c r="B23" s="9" t="s">
        <v>77</v>
      </c>
      <c r="C23" s="10">
        <f>COUNT(tb_otrosservicios[consecutivo])</f>
        <v>0</v>
      </c>
      <c r="D23" s="7">
        <f>SUM(tb_otrosservicios[vrServicio])</f>
        <v>0</v>
      </c>
      <c r="E23" s="2"/>
      <c r="F23" s="30"/>
      <c r="G23" s="31"/>
      <c r="H23" s="38"/>
      <c r="I23" s="32"/>
      <c r="J23" s="32"/>
      <c r="K23" s="11"/>
      <c r="L23" s="11" t="str">
        <f>IF(F23&lt;&gt;"",IF(COUNTIF(tb_consultas[codConsulta],F23)&gt;0,COUNTIF(tb_consultas[codConsulta],F23),IF(COUNTIF(tb_procedimientos[codProcedimiento],F23),COUNTIF(tb_procedimientos[codProcedimiento],F23),IF(COUNTIF(tb_medicamentos[codTecnologiaSalud],F23)&gt;0,SUMIF(tb_medicamentos[codTecnologiaSalud],F23,tb_medicamentos[cantidadMedicamento]),IF(COUNTIF(tb_otrosservicios[codTecnologiaSalud],F23)&gt;0,SUMIF(tb_otrosservicios[codTecnologiaSalud],F23,tb_otrosservicios[cantidadOS]),)))),"")</f>
        <v/>
      </c>
      <c r="M23" s="26" t="str">
        <f>IF(F23&lt;&gt;"",IF(COUNTIF(tb_consultas[codConsulta],F23)&gt;0,SUMIF(tb_consultas[codConsulta],F23,tb_consultas[vrServicio]),IF(COUNTIF(tb_procedimientos[codProcedimiento],F23),SUMIF(tb_procedimientos[codProcedimiento],F23,tb_procedimientos[vrServicio]),IF(COUNTIF(tb_medicamentos[codTecnologiaSalud],F23)&gt;0,SUMIF(tb_medicamentos[codTecnologiaSalud],F23,tb_medicamentos[vrServicio]),IF(COUNTIF(tb_otrosservicios[codTecnologiaSalud],F23)&gt;0,SUMIF(tb_otrosservicios[codTecnologiaSalud],F23,tb_otrosservicios[vrServicio]),)))),"")</f>
        <v/>
      </c>
      <c r="N23" s="33"/>
    </row>
    <row r="24" spans="2:14" x14ac:dyDescent="0.25">
      <c r="B24" s="15"/>
      <c r="C24" s="24" t="s">
        <v>65</v>
      </c>
      <c r="D24" s="25">
        <f>SUM(D16:D23)</f>
        <v>0</v>
      </c>
      <c r="E24" s="2"/>
      <c r="F24" s="30"/>
      <c r="G24" s="31"/>
      <c r="H24" s="38"/>
      <c r="I24" s="32"/>
      <c r="J24" s="32"/>
      <c r="K24" s="11"/>
      <c r="L24" s="11" t="str">
        <f>IF(F24&lt;&gt;"",IF(COUNTIF(tb_consultas[codConsulta],F24)&gt;0,COUNTIF(tb_consultas[codConsulta],F24),IF(COUNTIF(tb_procedimientos[codProcedimiento],F24),COUNTIF(tb_procedimientos[codProcedimiento],F24),IF(COUNTIF(tb_medicamentos[codTecnologiaSalud],F24)&gt;0,SUMIF(tb_medicamentos[codTecnologiaSalud],F24,tb_medicamentos[cantidadMedicamento]),IF(COUNTIF(tb_otrosservicios[codTecnologiaSalud],F24)&gt;0,SUMIF(tb_otrosservicios[codTecnologiaSalud],F24,tb_otrosservicios[cantidadOS]),)))),"")</f>
        <v/>
      </c>
      <c r="M24" s="26" t="str">
        <f>IF(F24&lt;&gt;"",IF(COUNTIF(tb_consultas[codConsulta],F24)&gt;0,SUMIF(tb_consultas[codConsulta],F24,tb_consultas[vrServicio]),IF(COUNTIF(tb_procedimientos[codProcedimiento],F24),SUMIF(tb_procedimientos[codProcedimiento],F24,tb_procedimientos[vrServicio]),IF(COUNTIF(tb_medicamentos[codTecnologiaSalud],F24)&gt;0,SUMIF(tb_medicamentos[codTecnologiaSalud],F24,tb_medicamentos[vrServicio]),IF(COUNTIF(tb_otrosservicios[codTecnologiaSalud],F24)&gt;0,SUMIF(tb_otrosservicios[codTecnologiaSalud],F24,tb_otrosservicios[vrServicio]),)))),"")</f>
        <v/>
      </c>
      <c r="N24" s="33"/>
    </row>
    <row r="25" spans="2:14" x14ac:dyDescent="0.25">
      <c r="F25" s="30"/>
      <c r="G25" s="31"/>
      <c r="H25" s="38"/>
      <c r="I25" s="32"/>
      <c r="J25" s="32"/>
      <c r="K25" s="11"/>
      <c r="L25" s="11" t="str">
        <f>IF(F25&lt;&gt;"",IF(COUNTIF(tb_consultas[codConsulta],F25)&gt;0,COUNTIF(tb_consultas[codConsulta],F25),IF(COUNTIF(tb_procedimientos[codProcedimiento],F25),COUNTIF(tb_procedimientos[codProcedimiento],F25),IF(COUNTIF(tb_medicamentos[codTecnologiaSalud],F25)&gt;0,SUMIF(tb_medicamentos[codTecnologiaSalud],F25,tb_medicamentos[cantidadMedicamento]),IF(COUNTIF(tb_otrosservicios[codTecnologiaSalud],F25)&gt;0,SUMIF(tb_otrosservicios[codTecnologiaSalud],F25,tb_otrosservicios[cantidadOS]),)))),"")</f>
        <v/>
      </c>
      <c r="M25" s="26" t="str">
        <f>IF(F25&lt;&gt;"",IF(COUNTIF(tb_consultas[codConsulta],F25)&gt;0,SUMIF(tb_consultas[codConsulta],F25,tb_consultas[vrServicio]),IF(COUNTIF(tb_procedimientos[codProcedimiento],F25),SUMIF(tb_procedimientos[codProcedimiento],F25,tb_procedimientos[vrServicio]),IF(COUNTIF(tb_medicamentos[codTecnologiaSalud],F25)&gt;0,SUMIF(tb_medicamentos[codTecnologiaSalud],F25,tb_medicamentos[vrServicio]),IF(COUNTIF(tb_otrosservicios[codTecnologiaSalud],F25)&gt;0,SUMIF(tb_otrosservicios[codTecnologiaSalud],F25,tb_otrosservicios[vrServicio]),)))),"")</f>
        <v/>
      </c>
      <c r="N25" s="33"/>
    </row>
    <row r="26" spans="2:14" x14ac:dyDescent="0.25">
      <c r="F26" s="30"/>
      <c r="G26" s="31"/>
      <c r="H26" s="38"/>
      <c r="I26" s="32"/>
      <c r="J26" s="32"/>
      <c r="K26" s="11"/>
      <c r="L26" s="11" t="str">
        <f>IF(F26&lt;&gt;"",IF(COUNTIF(tb_consultas[codConsulta],F26)&gt;0,COUNTIF(tb_consultas[codConsulta],F26),IF(COUNTIF(tb_procedimientos[codProcedimiento],F26),COUNTIF(tb_procedimientos[codProcedimiento],F26),IF(COUNTIF(tb_medicamentos[codTecnologiaSalud],F26)&gt;0,SUMIF(tb_medicamentos[codTecnologiaSalud],F26,tb_medicamentos[cantidadMedicamento]),IF(COUNTIF(tb_otrosservicios[codTecnologiaSalud],F26)&gt;0,SUMIF(tb_otrosservicios[codTecnologiaSalud],F26,tb_otrosservicios[cantidadOS]),)))),"")</f>
        <v/>
      </c>
      <c r="M26" s="26" t="str">
        <f>IF(F26&lt;&gt;"",IF(COUNTIF(tb_consultas[codConsulta],F26)&gt;0,SUMIF(tb_consultas[codConsulta],F26,tb_consultas[vrServicio]),IF(COUNTIF(tb_procedimientos[codProcedimiento],F26),SUMIF(tb_procedimientos[codProcedimiento],F26,tb_procedimientos[vrServicio]),IF(COUNTIF(tb_medicamentos[codTecnologiaSalud],F26)&gt;0,SUMIF(tb_medicamentos[codTecnologiaSalud],F26,tb_medicamentos[vrServicio]),IF(COUNTIF(tb_otrosservicios[codTecnologiaSalud],F26)&gt;0,SUMIF(tb_otrosservicios[codTecnologiaSalud],F26,tb_otrosservicios[vrServicio]),)))),"")</f>
        <v/>
      </c>
      <c r="N26" s="33"/>
    </row>
    <row r="27" spans="2:14" x14ac:dyDescent="0.25">
      <c r="F27" s="30"/>
      <c r="G27" s="31"/>
      <c r="H27" s="38"/>
      <c r="I27" s="32"/>
      <c r="J27" s="32"/>
      <c r="K27" s="11"/>
      <c r="L27" s="11" t="str">
        <f>IF(F27&lt;&gt;"",IF(COUNTIF(tb_consultas[codConsulta],F27)&gt;0,COUNTIF(tb_consultas[codConsulta],F27),IF(COUNTIF(tb_procedimientos[codProcedimiento],F27),COUNTIF(tb_procedimientos[codProcedimiento],F27),IF(COUNTIF(tb_medicamentos[codTecnologiaSalud],F27)&gt;0,SUMIF(tb_medicamentos[codTecnologiaSalud],F27,tb_medicamentos[cantidadMedicamento]),IF(COUNTIF(tb_otrosservicios[codTecnologiaSalud],F27)&gt;0,SUMIF(tb_otrosservicios[codTecnologiaSalud],F27,tb_otrosservicios[cantidadOS]),)))),"")</f>
        <v/>
      </c>
      <c r="M27" s="26" t="str">
        <f>IF(F27&lt;&gt;"",IF(COUNTIF(tb_consultas[codConsulta],F27)&gt;0,SUMIF(tb_consultas[codConsulta],F27,tb_consultas[vrServicio]),IF(COUNTIF(tb_procedimientos[codProcedimiento],F27),SUMIF(tb_procedimientos[codProcedimiento],F27,tb_procedimientos[vrServicio]),IF(COUNTIF(tb_medicamentos[codTecnologiaSalud],F27)&gt;0,SUMIF(tb_medicamentos[codTecnologiaSalud],F27,tb_medicamentos[vrServicio]),IF(COUNTIF(tb_otrosservicios[codTecnologiaSalud],F27)&gt;0,SUMIF(tb_otrosservicios[codTecnologiaSalud],F27,tb_otrosservicios[vrServicio]),)))),"")</f>
        <v/>
      </c>
      <c r="N27" s="33"/>
    </row>
    <row r="28" spans="2:14" x14ac:dyDescent="0.25">
      <c r="B28" s="20" t="s">
        <v>82</v>
      </c>
      <c r="C28" s="22" t="s">
        <v>78</v>
      </c>
      <c r="D28" s="21" t="s">
        <v>69</v>
      </c>
      <c r="F28" s="30"/>
      <c r="G28" s="31"/>
      <c r="H28" s="38"/>
      <c r="I28" s="32"/>
      <c r="J28" s="32"/>
      <c r="K28" s="11"/>
      <c r="L28" s="11" t="str">
        <f>IF(F28&lt;&gt;"",IF(COUNTIF(tb_consultas[codConsulta],F28)&gt;0,COUNTIF(tb_consultas[codConsulta],F28),IF(COUNTIF(tb_procedimientos[codProcedimiento],F28),COUNTIF(tb_procedimientos[codProcedimiento],F28),IF(COUNTIF(tb_medicamentos[codTecnologiaSalud],F28)&gt;0,SUMIF(tb_medicamentos[codTecnologiaSalud],F28,tb_medicamentos[cantidadMedicamento]),IF(COUNTIF(tb_otrosservicios[codTecnologiaSalud],F28)&gt;0,SUMIF(tb_otrosservicios[codTecnologiaSalud],F28,tb_otrosservicios[cantidadOS]),)))),"")</f>
        <v/>
      </c>
      <c r="M28" s="26" t="str">
        <f>IF(F28&lt;&gt;"",IF(COUNTIF(tb_consultas[codConsulta],F28)&gt;0,SUMIF(tb_consultas[codConsulta],F28,tb_consultas[vrServicio]),IF(COUNTIF(tb_procedimientos[codProcedimiento],F28),SUMIF(tb_procedimientos[codProcedimiento],F28,tb_procedimientos[vrServicio]),IF(COUNTIF(tb_medicamentos[codTecnologiaSalud],F28)&gt;0,SUMIF(tb_medicamentos[codTecnologiaSalud],F28,tb_medicamentos[vrServicio]),IF(COUNTIF(tb_otrosservicios[codTecnologiaSalud],F28)&gt;0,SUMIF(tb_otrosservicios[codTecnologiaSalud],F28,tb_otrosservicios[vrServicio]),)))),"")</f>
        <v/>
      </c>
      <c r="N28" s="33"/>
    </row>
    <row r="29" spans="2:14" x14ac:dyDescent="0.25">
      <c r="B29" s="8" t="s">
        <v>72</v>
      </c>
      <c r="C29" s="5">
        <f>COUNTA(tb_consultas[numFEVPagoModerador])</f>
        <v>0</v>
      </c>
      <c r="D29" s="6">
        <f>SUM(tb_consultas[valorPagoModerador])</f>
        <v>0</v>
      </c>
      <c r="F29" s="30"/>
      <c r="G29" s="31"/>
      <c r="H29" s="38"/>
      <c r="I29" s="32"/>
      <c r="J29" s="32"/>
      <c r="K29" s="11"/>
      <c r="L29" s="11" t="str">
        <f>IF(F29&lt;&gt;"",IF(COUNTIF(tb_consultas[codConsulta],F29)&gt;0,COUNTIF(tb_consultas[codConsulta],F29),IF(COUNTIF(tb_procedimientos[codProcedimiento],F29),COUNTIF(tb_procedimientos[codProcedimiento],F29),IF(COUNTIF(tb_medicamentos[codTecnologiaSalud],F29)&gt;0,SUMIF(tb_medicamentos[codTecnologiaSalud],F29,tb_medicamentos[cantidadMedicamento]),IF(COUNTIF(tb_otrosservicios[codTecnologiaSalud],F29)&gt;0,SUMIF(tb_otrosservicios[codTecnologiaSalud],F29,tb_otrosservicios[cantidadOS]),)))),"")</f>
        <v/>
      </c>
      <c r="M29" s="26" t="str">
        <f>IF(F29&lt;&gt;"",IF(COUNTIF(tb_consultas[codConsulta],F29)&gt;0,SUMIF(tb_consultas[codConsulta],F29,tb_consultas[vrServicio]),IF(COUNTIF(tb_procedimientos[codProcedimiento],F29),SUMIF(tb_procedimientos[codProcedimiento],F29,tb_procedimientos[vrServicio]),IF(COUNTIF(tb_medicamentos[codTecnologiaSalud],F29)&gt;0,SUMIF(tb_medicamentos[codTecnologiaSalud],F29,tb_medicamentos[vrServicio]),IF(COUNTIF(tb_otrosservicios[codTecnologiaSalud],F29)&gt;0,SUMIF(tb_otrosservicios[codTecnologiaSalud],F29,tb_otrosservicios[vrServicio]),)))),"")</f>
        <v/>
      </c>
      <c r="N29" s="33"/>
    </row>
    <row r="30" spans="2:14" x14ac:dyDescent="0.25">
      <c r="B30" s="8" t="s">
        <v>66</v>
      </c>
      <c r="C30" s="5">
        <f>COUNTA(tb_procedimientos[numFEVPagoModerador])</f>
        <v>0</v>
      </c>
      <c r="D30" s="6">
        <f>SUM(tb_procedimientos[valorPagoModerador])</f>
        <v>0</v>
      </c>
      <c r="F30" s="30"/>
      <c r="G30" s="31"/>
      <c r="H30" s="38"/>
      <c r="I30" s="32"/>
      <c r="J30" s="32"/>
      <c r="K30" s="11"/>
      <c r="L30" s="11" t="str">
        <f>IF(F30&lt;&gt;"",IF(COUNTIF(tb_consultas[codConsulta],F30)&gt;0,COUNTIF(tb_consultas[codConsulta],F30),IF(COUNTIF(tb_procedimientos[codProcedimiento],F30),COUNTIF(tb_procedimientos[codProcedimiento],F30),IF(COUNTIF(tb_medicamentos[codTecnologiaSalud],F30)&gt;0,SUMIF(tb_medicamentos[codTecnologiaSalud],F30,tb_medicamentos[cantidadMedicamento]),IF(COUNTIF(tb_otrosservicios[codTecnologiaSalud],F30)&gt;0,SUMIF(tb_otrosservicios[codTecnologiaSalud],F30,tb_otrosservicios[cantidadOS]),)))),"")</f>
        <v/>
      </c>
      <c r="M30" s="26" t="str">
        <f>IF(F30&lt;&gt;"",IF(COUNTIF(tb_consultas[codConsulta],F30)&gt;0,SUMIF(tb_consultas[codConsulta],F30,tb_consultas[vrServicio]),IF(COUNTIF(tb_procedimientos[codProcedimiento],F30),SUMIF(tb_procedimientos[codProcedimiento],F30,tb_procedimientos[vrServicio]),IF(COUNTIF(tb_medicamentos[codTecnologiaSalud],F30)&gt;0,SUMIF(tb_medicamentos[codTecnologiaSalud],F30,tb_medicamentos[vrServicio]),IF(COUNTIF(tb_otrosservicios[codTecnologiaSalud],F30)&gt;0,SUMIF(tb_otrosservicios[codTecnologiaSalud],F30,tb_otrosservicios[vrServicio]),)))),"")</f>
        <v/>
      </c>
      <c r="N30" s="33"/>
    </row>
    <row r="31" spans="2:14" x14ac:dyDescent="0.25">
      <c r="B31" s="8" t="s">
        <v>76</v>
      </c>
      <c r="C31" s="5">
        <f>COUNTA(tb_medicamentos[numFEVPagoModerador])</f>
        <v>0</v>
      </c>
      <c r="D31" s="6">
        <f>SUM(tb_medicamentos[valorPagoModerador])</f>
        <v>0</v>
      </c>
      <c r="F31" s="30"/>
      <c r="G31" s="31"/>
      <c r="H31" s="38"/>
      <c r="I31" s="32"/>
      <c r="J31" s="32"/>
      <c r="K31" s="11"/>
      <c r="L31" s="11" t="str">
        <f>IF(F31&lt;&gt;"",IF(COUNTIF(tb_consultas[codConsulta],F31)&gt;0,COUNTIF(tb_consultas[codConsulta],F31),IF(COUNTIF(tb_procedimientos[codProcedimiento],F31),COUNTIF(tb_procedimientos[codProcedimiento],F31),IF(COUNTIF(tb_medicamentos[codTecnologiaSalud],F31)&gt;0,SUMIF(tb_medicamentos[codTecnologiaSalud],F31,tb_medicamentos[cantidadMedicamento]),IF(COUNTIF(tb_otrosservicios[codTecnologiaSalud],F31)&gt;0,SUMIF(tb_otrosservicios[codTecnologiaSalud],F31,tb_otrosservicios[cantidadOS]),)))),"")</f>
        <v/>
      </c>
      <c r="M31" s="26" t="str">
        <f>IF(F31&lt;&gt;"",IF(COUNTIF(tb_consultas[codConsulta],F31)&gt;0,SUMIF(tb_consultas[codConsulta],F31,tb_consultas[vrServicio]),IF(COUNTIF(tb_procedimientos[codProcedimiento],F31),SUMIF(tb_procedimientos[codProcedimiento],F31,tb_procedimientos[vrServicio]),IF(COUNTIF(tb_medicamentos[codTecnologiaSalud],F31)&gt;0,SUMIF(tb_medicamentos[codTecnologiaSalud],F31,tb_medicamentos[vrServicio]),IF(COUNTIF(tb_otrosservicios[codTecnologiaSalud],F31)&gt;0,SUMIF(tb_otrosservicios[codTecnologiaSalud],F31,tb_otrosservicios[vrServicio]),)))),"")</f>
        <v/>
      </c>
      <c r="N31" s="33"/>
    </row>
    <row r="32" spans="2:14" x14ac:dyDescent="0.25">
      <c r="B32" s="8" t="s">
        <v>77</v>
      </c>
      <c r="C32" s="5">
        <f>COUNT(tb_otrosservicios[valorPagoModerador])</f>
        <v>0</v>
      </c>
      <c r="D32" s="6">
        <f>SUM(tb_otrosservicios[valorPagoModerador])</f>
        <v>0</v>
      </c>
      <c r="F32" s="30"/>
      <c r="G32" s="31"/>
      <c r="H32" s="38"/>
      <c r="I32" s="32"/>
      <c r="J32" s="32"/>
      <c r="K32" s="11"/>
      <c r="L32" s="11" t="str">
        <f>IF(F32&lt;&gt;"",IF(COUNTIF(tb_consultas[codConsulta],F32)&gt;0,COUNTIF(tb_consultas[codConsulta],F32),IF(COUNTIF(tb_procedimientos[codProcedimiento],F32),COUNTIF(tb_procedimientos[codProcedimiento],F32),IF(COUNTIF(tb_medicamentos[codTecnologiaSalud],F32)&gt;0,SUMIF(tb_medicamentos[codTecnologiaSalud],F32,tb_medicamentos[cantidadMedicamento]),IF(COUNTIF(tb_otrosservicios[codTecnologiaSalud],F32)&gt;0,SUMIF(tb_otrosservicios[codTecnologiaSalud],F32,tb_otrosservicios[cantidadOS]),)))),"")</f>
        <v/>
      </c>
      <c r="M32" s="26" t="str">
        <f>IF(F32&lt;&gt;"",IF(COUNTIF(tb_consultas[codConsulta],F32)&gt;0,SUMIF(tb_consultas[codConsulta],F32,tb_consultas[vrServicio]),IF(COUNTIF(tb_procedimientos[codProcedimiento],F32),SUMIF(tb_procedimientos[codProcedimiento],F32,tb_procedimientos[vrServicio]),IF(COUNTIF(tb_medicamentos[codTecnologiaSalud],F32)&gt;0,SUMIF(tb_medicamentos[codTecnologiaSalud],F32,tb_medicamentos[vrServicio]),IF(COUNTIF(tb_otrosservicios[codTecnologiaSalud],F32)&gt;0,SUMIF(tb_otrosservicios[codTecnologiaSalud],F32,tb_otrosservicios[vrServicio]),)))),"")</f>
        <v/>
      </c>
      <c r="N32" s="33"/>
    </row>
    <row r="33" spans="3:14" x14ac:dyDescent="0.25">
      <c r="C33" s="24" t="s">
        <v>65</v>
      </c>
      <c r="D33" s="25">
        <f>SUM(D29:D32)</f>
        <v>0</v>
      </c>
      <c r="F33" s="30"/>
      <c r="G33" s="31"/>
      <c r="H33" s="38"/>
      <c r="I33" s="32"/>
      <c r="J33" s="32"/>
      <c r="K33" s="11"/>
      <c r="L33" s="11" t="str">
        <f>IF(F33&lt;&gt;"",IF(COUNTIF(tb_consultas[codConsulta],F33)&gt;0,COUNTIF(tb_consultas[codConsulta],F33),IF(COUNTIF(tb_procedimientos[codProcedimiento],F33),COUNTIF(tb_procedimientos[codProcedimiento],F33),IF(COUNTIF(tb_medicamentos[codTecnologiaSalud],F33)&gt;0,SUMIF(tb_medicamentos[codTecnologiaSalud],F33,tb_medicamentos[cantidadMedicamento]),IF(COUNTIF(tb_otrosservicios[codTecnologiaSalud],F33)&gt;0,SUMIF(tb_otrosservicios[codTecnologiaSalud],F33,tb_otrosservicios[cantidadOS]),)))),"")</f>
        <v/>
      </c>
      <c r="M33" s="26" t="str">
        <f>IF(F33&lt;&gt;"",IF(COUNTIF(tb_consultas[codConsulta],F33)&gt;0,SUMIF(tb_consultas[codConsulta],F33,tb_consultas[vrServicio]),IF(COUNTIF(tb_procedimientos[codProcedimiento],F33),SUMIF(tb_procedimientos[codProcedimiento],F33,tb_procedimientos[vrServicio]),IF(COUNTIF(tb_medicamentos[codTecnologiaSalud],F33)&gt;0,SUMIF(tb_medicamentos[codTecnologiaSalud],F33,tb_medicamentos[vrServicio]),IF(COUNTIF(tb_otrosservicios[codTecnologiaSalud],F33)&gt;0,SUMIF(tb_otrosservicios[codTecnologiaSalud],F33,tb_otrosservicios[vrServicio]),)))),"")</f>
        <v/>
      </c>
      <c r="N33" s="33"/>
    </row>
    <row r="34" spans="3:14" x14ac:dyDescent="0.25">
      <c r="F34" s="30"/>
      <c r="G34" s="31"/>
      <c r="H34" s="38"/>
      <c r="I34" s="32"/>
      <c r="J34" s="32"/>
      <c r="K34" s="11"/>
      <c r="L34" s="11" t="str">
        <f>IF(F34&lt;&gt;"",IF(COUNTIF(tb_consultas[codConsulta],F34)&gt;0,COUNTIF(tb_consultas[codConsulta],F34),IF(COUNTIF(tb_procedimientos[codProcedimiento],F34),COUNTIF(tb_procedimientos[codProcedimiento],F34),IF(COUNTIF(tb_medicamentos[codTecnologiaSalud],F34)&gt;0,SUMIF(tb_medicamentos[codTecnologiaSalud],F34,tb_medicamentos[cantidadMedicamento]),IF(COUNTIF(tb_otrosservicios[codTecnologiaSalud],F34)&gt;0,SUMIF(tb_otrosservicios[codTecnologiaSalud],F34,tb_otrosservicios[cantidadOS]),)))),"")</f>
        <v/>
      </c>
      <c r="M34" s="26" t="str">
        <f>IF(F34&lt;&gt;"",IF(COUNTIF(tb_consultas[codConsulta],F34)&gt;0,SUMIF(tb_consultas[codConsulta],F34,tb_consultas[vrServicio]),IF(COUNTIF(tb_procedimientos[codProcedimiento],F34),SUMIF(tb_procedimientos[codProcedimiento],F34,tb_procedimientos[vrServicio]),IF(COUNTIF(tb_medicamentos[codTecnologiaSalud],F34)&gt;0,SUMIF(tb_medicamentos[codTecnologiaSalud],F34,tb_medicamentos[vrServicio]),IF(COUNTIF(tb_otrosservicios[codTecnologiaSalud],F34)&gt;0,SUMIF(tb_otrosservicios[codTecnologiaSalud],F34,tb_otrosservicios[vrServicio]),)))),"")</f>
        <v/>
      </c>
      <c r="N34" s="33"/>
    </row>
    <row r="35" spans="3:14" x14ac:dyDescent="0.25">
      <c r="F35" s="30"/>
      <c r="G35" s="31"/>
      <c r="H35" s="38"/>
      <c r="I35" s="32"/>
      <c r="J35" s="32"/>
      <c r="K35" s="11"/>
      <c r="L35" s="11" t="str">
        <f>IF(F35&lt;&gt;"",IF(COUNTIF(tb_consultas[codConsulta],F35)&gt;0,COUNTIF(tb_consultas[codConsulta],F35),IF(COUNTIF(tb_procedimientos[codProcedimiento],F35),COUNTIF(tb_procedimientos[codProcedimiento],F35),IF(COUNTIF(tb_medicamentos[codTecnologiaSalud],F35)&gt;0,SUMIF(tb_medicamentos[codTecnologiaSalud],F35,tb_medicamentos[cantidadMedicamento]),IF(COUNTIF(tb_otrosservicios[codTecnologiaSalud],F35)&gt;0,SUMIF(tb_otrosservicios[codTecnologiaSalud],F35,tb_otrosservicios[cantidadOS]),)))),"")</f>
        <v/>
      </c>
      <c r="M35" s="26" t="str">
        <f>IF(F35&lt;&gt;"",IF(COUNTIF(tb_consultas[codConsulta],F35)&gt;0,SUMIF(tb_consultas[codConsulta],F35,tb_consultas[vrServicio]),IF(COUNTIF(tb_procedimientos[codProcedimiento],F35),SUMIF(tb_procedimientos[codProcedimiento],F35,tb_procedimientos[vrServicio]),IF(COUNTIF(tb_medicamentos[codTecnologiaSalud],F35)&gt;0,SUMIF(tb_medicamentos[codTecnologiaSalud],F35,tb_medicamentos[vrServicio]),IF(COUNTIF(tb_otrosservicios[codTecnologiaSalud],F35)&gt;0,SUMIF(tb_otrosservicios[codTecnologiaSalud],F35,tb_otrosservicios[vrServicio]),)))),"")</f>
        <v/>
      </c>
      <c r="N35" s="33"/>
    </row>
    <row r="36" spans="3:14" x14ac:dyDescent="0.25">
      <c r="F36" s="30"/>
      <c r="G36" s="31"/>
      <c r="H36" s="38"/>
      <c r="I36" s="32"/>
      <c r="J36" s="32"/>
      <c r="K36" s="11"/>
      <c r="L36" s="11" t="str">
        <f>IF(F36&lt;&gt;"",IF(COUNTIF(tb_consultas[codConsulta],F36)&gt;0,COUNTIF(tb_consultas[codConsulta],F36),IF(COUNTIF(tb_procedimientos[codProcedimiento],F36),COUNTIF(tb_procedimientos[codProcedimiento],F36),IF(COUNTIF(tb_medicamentos[codTecnologiaSalud],F36)&gt;0,SUMIF(tb_medicamentos[codTecnologiaSalud],F36,tb_medicamentos[cantidadMedicamento]),IF(COUNTIF(tb_otrosservicios[codTecnologiaSalud],F36)&gt;0,SUMIF(tb_otrosservicios[codTecnologiaSalud],F36,tb_otrosservicios[cantidadOS]),)))),"")</f>
        <v/>
      </c>
      <c r="M36" s="26" t="str">
        <f>IF(F36&lt;&gt;"",IF(COUNTIF(tb_consultas[codConsulta],F36)&gt;0,SUMIF(tb_consultas[codConsulta],F36,tb_consultas[vrServicio]),IF(COUNTIF(tb_procedimientos[codProcedimiento],F36),SUMIF(tb_procedimientos[codProcedimiento],F36,tb_procedimientos[vrServicio]),IF(COUNTIF(tb_medicamentos[codTecnologiaSalud],F36)&gt;0,SUMIF(tb_medicamentos[codTecnologiaSalud],F36,tb_medicamentos[vrServicio]),IF(COUNTIF(tb_otrosservicios[codTecnologiaSalud],F36)&gt;0,SUMIF(tb_otrosservicios[codTecnologiaSalud],F36,tb_otrosservicios[vrServicio]),)))),"")</f>
        <v/>
      </c>
      <c r="N36" s="33"/>
    </row>
    <row r="37" spans="3:14" x14ac:dyDescent="0.25">
      <c r="F37" s="30"/>
      <c r="G37" s="31"/>
      <c r="H37" s="38"/>
      <c r="I37" s="32"/>
      <c r="J37" s="32"/>
      <c r="K37" s="11"/>
      <c r="L37" s="11" t="str">
        <f>IF(F37&lt;&gt;"",IF(COUNTIF(tb_consultas[codConsulta],F37)&gt;0,COUNTIF(tb_consultas[codConsulta],F37),IF(COUNTIF(tb_procedimientos[codProcedimiento],F37),COUNTIF(tb_procedimientos[codProcedimiento],F37),IF(COUNTIF(tb_medicamentos[codTecnologiaSalud],F37)&gt;0,SUMIF(tb_medicamentos[codTecnologiaSalud],F37,tb_medicamentos[cantidadMedicamento]),IF(COUNTIF(tb_otrosservicios[codTecnologiaSalud],F37)&gt;0,SUMIF(tb_otrosservicios[codTecnologiaSalud],F37,tb_otrosservicios[cantidadOS]),)))),"")</f>
        <v/>
      </c>
      <c r="M37" s="26" t="str">
        <f>IF(F37&lt;&gt;"",IF(COUNTIF(tb_consultas[codConsulta],F37)&gt;0,SUMIF(tb_consultas[codConsulta],F37,tb_consultas[vrServicio]),IF(COUNTIF(tb_procedimientos[codProcedimiento],F37),SUMIF(tb_procedimientos[codProcedimiento],F37,tb_procedimientos[vrServicio]),IF(COUNTIF(tb_medicamentos[codTecnologiaSalud],F37)&gt;0,SUMIF(tb_medicamentos[codTecnologiaSalud],F37,tb_medicamentos[vrServicio]),IF(COUNTIF(tb_otrosservicios[codTecnologiaSalud],F37)&gt;0,SUMIF(tb_otrosservicios[codTecnologiaSalud],F37,tb_otrosservicios[vrServicio]),)))),"")</f>
        <v/>
      </c>
      <c r="N37" s="33"/>
    </row>
    <row r="38" spans="3:14" x14ac:dyDescent="0.25">
      <c r="F38" s="30"/>
      <c r="G38" s="31"/>
      <c r="H38" s="38"/>
      <c r="I38" s="32"/>
      <c r="J38" s="32"/>
      <c r="K38" s="11"/>
      <c r="L38" s="11" t="str">
        <f>IF(F38&lt;&gt;"",IF(COUNTIF(tb_consultas[codConsulta],F38)&gt;0,COUNTIF(tb_consultas[codConsulta],F38),IF(COUNTIF(tb_procedimientos[codProcedimiento],F38),COUNTIF(tb_procedimientos[codProcedimiento],F38),IF(COUNTIF(tb_medicamentos[codTecnologiaSalud],F38)&gt;0,SUMIF(tb_medicamentos[codTecnologiaSalud],F38,tb_medicamentos[cantidadMedicamento]),IF(COUNTIF(tb_otrosservicios[codTecnologiaSalud],F38)&gt;0,SUMIF(tb_otrosservicios[codTecnologiaSalud],F38,tb_otrosservicios[cantidadOS]),)))),"")</f>
        <v/>
      </c>
      <c r="M38" s="26" t="str">
        <f>IF(F38&lt;&gt;"",IF(COUNTIF(tb_consultas[codConsulta],F38)&gt;0,SUMIF(tb_consultas[codConsulta],F38,tb_consultas[vrServicio]),IF(COUNTIF(tb_procedimientos[codProcedimiento],F38),SUMIF(tb_procedimientos[codProcedimiento],F38,tb_procedimientos[vrServicio]),IF(COUNTIF(tb_medicamentos[codTecnologiaSalud],F38)&gt;0,SUMIF(tb_medicamentos[codTecnologiaSalud],F38,tb_medicamentos[vrServicio]),IF(COUNTIF(tb_otrosservicios[codTecnologiaSalud],F38)&gt;0,SUMIF(tb_otrosservicios[codTecnologiaSalud],F38,tb_otrosservicios[vrServicio]),)))),"")</f>
        <v/>
      </c>
      <c r="N38" s="33"/>
    </row>
    <row r="39" spans="3:14" x14ac:dyDescent="0.25">
      <c r="F39" s="30"/>
      <c r="G39" s="31"/>
      <c r="H39" s="38"/>
      <c r="I39" s="32"/>
      <c r="J39" s="32"/>
      <c r="K39" s="11"/>
      <c r="L39" s="11" t="str">
        <f>IF(F39&lt;&gt;"",IF(COUNTIF(tb_consultas[codConsulta],F39)&gt;0,COUNTIF(tb_consultas[codConsulta],F39),IF(COUNTIF(tb_procedimientos[codProcedimiento],F39),COUNTIF(tb_procedimientos[codProcedimiento],F39),IF(COUNTIF(tb_medicamentos[codTecnologiaSalud],F39)&gt;0,SUMIF(tb_medicamentos[codTecnologiaSalud],F39,tb_medicamentos[cantidadMedicamento]),IF(COUNTIF(tb_otrosservicios[codTecnologiaSalud],F39)&gt;0,SUMIF(tb_otrosservicios[codTecnologiaSalud],F39,tb_otrosservicios[cantidadOS]),)))),"")</f>
        <v/>
      </c>
      <c r="M39" s="26" t="str">
        <f>IF(F39&lt;&gt;"",IF(COUNTIF(tb_consultas[codConsulta],F39)&gt;0,SUMIF(tb_consultas[codConsulta],F39,tb_consultas[vrServicio]),IF(COUNTIF(tb_procedimientos[codProcedimiento],F39),SUMIF(tb_procedimientos[codProcedimiento],F39,tb_procedimientos[vrServicio]),IF(COUNTIF(tb_medicamentos[codTecnologiaSalud],F39)&gt;0,SUMIF(tb_medicamentos[codTecnologiaSalud],F39,tb_medicamentos[vrServicio]),IF(COUNTIF(tb_otrosservicios[codTecnologiaSalud],F39)&gt;0,SUMIF(tb_otrosservicios[codTecnologiaSalud],F39,tb_otrosservicios[vrServicio]),)))),"")</f>
        <v/>
      </c>
      <c r="N39" s="33"/>
    </row>
    <row r="40" spans="3:14" x14ac:dyDescent="0.25">
      <c r="F40" s="30"/>
      <c r="G40" s="31"/>
      <c r="H40" s="38"/>
      <c r="I40" s="32"/>
      <c r="J40" s="32"/>
      <c r="K40" s="11"/>
      <c r="L40" s="11" t="str">
        <f>IF(F40&lt;&gt;"",IF(COUNTIF(tb_consultas[codConsulta],F40)&gt;0,COUNTIF(tb_consultas[codConsulta],F40),IF(COUNTIF(tb_procedimientos[codProcedimiento],F40),COUNTIF(tb_procedimientos[codProcedimiento],F40),IF(COUNTIF(tb_medicamentos[codTecnologiaSalud],F40)&gt;0,SUMIF(tb_medicamentos[codTecnologiaSalud],F40,tb_medicamentos[cantidadMedicamento]),IF(COUNTIF(tb_otrosservicios[codTecnologiaSalud],F40)&gt;0,SUMIF(tb_otrosservicios[codTecnologiaSalud],F40,tb_otrosservicios[cantidadOS]),)))),"")</f>
        <v/>
      </c>
      <c r="M40" s="26" t="str">
        <f>IF(F40&lt;&gt;"",IF(COUNTIF(tb_consultas[codConsulta],F40)&gt;0,SUMIF(tb_consultas[codConsulta],F40,tb_consultas[vrServicio]),IF(COUNTIF(tb_procedimientos[codProcedimiento],F40),SUMIF(tb_procedimientos[codProcedimiento],F40,tb_procedimientos[vrServicio]),IF(COUNTIF(tb_medicamentos[codTecnologiaSalud],F40)&gt;0,SUMIF(tb_medicamentos[codTecnologiaSalud],F40,tb_medicamentos[vrServicio]),IF(COUNTIF(tb_otrosservicios[codTecnologiaSalud],F40)&gt;0,SUMIF(tb_otrosservicios[codTecnologiaSalud],F40,tb_otrosservicios[vrServicio]),)))),"")</f>
        <v/>
      </c>
      <c r="N40" s="33"/>
    </row>
    <row r="41" spans="3:14" x14ac:dyDescent="0.25">
      <c r="F41" s="30"/>
      <c r="G41" s="31"/>
      <c r="H41" s="38"/>
      <c r="I41" s="32"/>
      <c r="J41" s="32"/>
      <c r="K41" s="27"/>
      <c r="L41" s="11" t="str">
        <f>IF(F41&lt;&gt;"",IF(COUNTIF(tb_consultas[codConsulta],F41)&gt;0,COUNTIF(tb_consultas[codConsulta],F41),IF(COUNTIF(tb_procedimientos[codProcedimiento],F41),COUNTIF(tb_procedimientos[codProcedimiento],F41),IF(COUNTIF(tb_medicamentos[codTecnologiaSalud],F41)&gt;0,SUMIF(tb_medicamentos[codTecnologiaSalud],F41,tb_medicamentos[cantidadMedicamento]),IF(COUNTIF(tb_otrosservicios[codTecnologiaSalud],F41)&gt;0,SUMIF(tb_otrosservicios[codTecnologiaSalud],F41,tb_otrosservicios[cantidadOS]),)))),"")</f>
        <v/>
      </c>
      <c r="M41" s="26" t="str">
        <f>IF(F41&lt;&gt;"",IF(COUNTIF(tb_consultas[codConsulta],F41)&gt;0,SUMIF(tb_consultas[codConsulta],F41,tb_consultas[vrServicio]),IF(COUNTIF(tb_procedimientos[codProcedimiento],F41),SUMIF(tb_procedimientos[codProcedimiento],F41,tb_procedimientos[vrServicio]),IF(COUNTIF(tb_medicamentos[codTecnologiaSalud],F41)&gt;0,SUMIF(tb_medicamentos[codTecnologiaSalud],F41,tb_medicamentos[vrServicio]),IF(COUNTIF(tb_otrosservicios[codTecnologiaSalud],F41)&gt;0,SUMIF(tb_otrosservicios[codTecnologiaSalud],F41,tb_otrosservicios[vrServicio]),)))),"")</f>
        <v/>
      </c>
      <c r="N41" s="33"/>
    </row>
    <row r="42" spans="3:14" x14ac:dyDescent="0.25">
      <c r="F42" s="30"/>
      <c r="G42" s="31"/>
      <c r="H42" s="38"/>
      <c r="I42" s="32"/>
      <c r="J42" s="32"/>
      <c r="K42" s="27"/>
      <c r="L42" s="11" t="str">
        <f>IF(F42&lt;&gt;"",IF(COUNTIF(tb_consultas[codConsulta],F42)&gt;0,COUNTIF(tb_consultas[codConsulta],F42),IF(COUNTIF(tb_procedimientos[codProcedimiento],F42),COUNTIF(tb_procedimientos[codProcedimiento],F42),IF(COUNTIF(tb_medicamentos[codTecnologiaSalud],F42)&gt;0,SUMIF(tb_medicamentos[codTecnologiaSalud],F42,tb_medicamentos[cantidadMedicamento]),IF(COUNTIF(tb_otrosservicios[codTecnologiaSalud],F42)&gt;0,SUMIF(tb_otrosservicios[codTecnologiaSalud],F42,tb_otrosservicios[cantidadOS]),)))),"")</f>
        <v/>
      </c>
      <c r="M42" s="26" t="str">
        <f>IF(F42&lt;&gt;"",IF(COUNTIF(tb_consultas[codConsulta],F42)&gt;0,SUMIF(tb_consultas[codConsulta],F42,tb_consultas[vrServicio]),IF(COUNTIF(tb_procedimientos[codProcedimiento],F42),SUMIF(tb_procedimientos[codProcedimiento],F42,tb_procedimientos[vrServicio]),IF(COUNTIF(tb_medicamentos[codTecnologiaSalud],F42)&gt;0,SUMIF(tb_medicamentos[codTecnologiaSalud],F42,tb_medicamentos[vrServicio]),IF(COUNTIF(tb_otrosservicios[codTecnologiaSalud],F42)&gt;0,SUMIF(tb_otrosservicios[codTecnologiaSalud],F42,tb_otrosservicios[vrServicio]),)))),"")</f>
        <v/>
      </c>
      <c r="N42" s="33"/>
    </row>
    <row r="43" spans="3:14" x14ac:dyDescent="0.25">
      <c r="F43" s="30"/>
      <c r="G43" s="31"/>
      <c r="H43" s="38"/>
      <c r="I43" s="32"/>
      <c r="J43" s="32"/>
      <c r="K43" s="27"/>
      <c r="L43" s="11" t="str">
        <f>IF(F43&lt;&gt;"",IF(COUNTIF(tb_consultas[codConsulta],F43)&gt;0,COUNTIF(tb_consultas[codConsulta],F43),IF(COUNTIF(tb_procedimientos[codProcedimiento],F43),COUNTIF(tb_procedimientos[codProcedimiento],F43),IF(COUNTIF(tb_medicamentos[codTecnologiaSalud],F43)&gt;0,SUMIF(tb_medicamentos[codTecnologiaSalud],F43,tb_medicamentos[cantidadMedicamento]),IF(COUNTIF(tb_otrosservicios[codTecnologiaSalud],F43)&gt;0,SUMIF(tb_otrosservicios[codTecnologiaSalud],F43,tb_otrosservicios[cantidadOS]),)))),"")</f>
        <v/>
      </c>
      <c r="M43" s="26" t="str">
        <f>IF(F43&lt;&gt;"",IF(COUNTIF(tb_consultas[codConsulta],F43)&gt;0,SUMIF(tb_consultas[codConsulta],F43,tb_consultas[vrServicio]),IF(COUNTIF(tb_procedimientos[codProcedimiento],F43),SUMIF(tb_procedimientos[codProcedimiento],F43,tb_procedimientos[vrServicio]),IF(COUNTIF(tb_medicamentos[codTecnologiaSalud],F43)&gt;0,SUMIF(tb_medicamentos[codTecnologiaSalud],F43,tb_medicamentos[vrServicio]),IF(COUNTIF(tb_otrosservicios[codTecnologiaSalud],F43)&gt;0,SUMIF(tb_otrosservicios[codTecnologiaSalud],F43,tb_otrosservicios[vrServicio]),)))),"")</f>
        <v/>
      </c>
      <c r="N43" s="33"/>
    </row>
    <row r="44" spans="3:14" x14ac:dyDescent="0.25">
      <c r="F44" s="30"/>
      <c r="G44" s="31"/>
      <c r="H44" s="38"/>
      <c r="I44" s="32"/>
      <c r="J44" s="32"/>
      <c r="K44" s="27"/>
      <c r="L44" s="11" t="str">
        <f>IF(F44&lt;&gt;"",IF(COUNTIF(tb_consultas[codConsulta],F44)&gt;0,COUNTIF(tb_consultas[codConsulta],F44),IF(COUNTIF(tb_procedimientos[codProcedimiento],F44),COUNTIF(tb_procedimientos[codProcedimiento],F44),IF(COUNTIF(tb_medicamentos[codTecnologiaSalud],F44)&gt;0,SUMIF(tb_medicamentos[codTecnologiaSalud],F44,tb_medicamentos[cantidadMedicamento]),IF(COUNTIF(tb_otrosservicios[codTecnologiaSalud],F44)&gt;0,SUMIF(tb_otrosservicios[codTecnologiaSalud],F44,tb_otrosservicios[cantidadOS]),)))),"")</f>
        <v/>
      </c>
      <c r="M44" s="26" t="str">
        <f>IF(F44&lt;&gt;"",IF(COUNTIF(tb_consultas[codConsulta],F44)&gt;0,SUMIF(tb_consultas[codConsulta],F44,tb_consultas[vrServicio]),IF(COUNTIF(tb_procedimientos[codProcedimiento],F44),SUMIF(tb_procedimientos[codProcedimiento],F44,tb_procedimientos[vrServicio]),IF(COUNTIF(tb_medicamentos[codTecnologiaSalud],F44)&gt;0,SUMIF(tb_medicamentos[codTecnologiaSalud],F44,tb_medicamentos[vrServicio]),IF(COUNTIF(tb_otrosservicios[codTecnologiaSalud],F44)&gt;0,SUMIF(tb_otrosservicios[codTecnologiaSalud],F44,tb_otrosservicios[vrServicio]),)))),"")</f>
        <v/>
      </c>
      <c r="N44" s="33"/>
    </row>
    <row r="45" spans="3:14" x14ac:dyDescent="0.25">
      <c r="F45" s="30"/>
      <c r="G45" s="31"/>
      <c r="H45" s="38"/>
      <c r="I45" s="32"/>
      <c r="J45" s="32"/>
      <c r="K45" s="27"/>
      <c r="L45" s="11" t="str">
        <f>IF(F45&lt;&gt;"",IF(COUNTIF(tb_consultas[codConsulta],F45)&gt;0,COUNTIF(tb_consultas[codConsulta],F45),IF(COUNTIF(tb_procedimientos[codProcedimiento],F45),COUNTIF(tb_procedimientos[codProcedimiento],F45),IF(COUNTIF(tb_medicamentos[codTecnologiaSalud],F45)&gt;0,SUMIF(tb_medicamentos[codTecnologiaSalud],F45,tb_medicamentos[cantidadMedicamento]),IF(COUNTIF(tb_otrosservicios[codTecnologiaSalud],F45)&gt;0,SUMIF(tb_otrosservicios[codTecnologiaSalud],F45,tb_otrosservicios[cantidadOS]),)))),"")</f>
        <v/>
      </c>
      <c r="M45" s="26" t="str">
        <f>IF(F45&lt;&gt;"",IF(COUNTIF(tb_consultas[codConsulta],F45)&gt;0,SUMIF(tb_consultas[codConsulta],F45,tb_consultas[vrServicio]),IF(COUNTIF(tb_procedimientos[codProcedimiento],F45),SUMIF(tb_procedimientos[codProcedimiento],F45,tb_procedimientos[vrServicio]),IF(COUNTIF(tb_medicamentos[codTecnologiaSalud],F45)&gt;0,SUMIF(tb_medicamentos[codTecnologiaSalud],F45,tb_medicamentos[vrServicio]),IF(COUNTIF(tb_otrosservicios[codTecnologiaSalud],F45)&gt;0,SUMIF(tb_otrosservicios[codTecnologiaSalud],F45,tb_otrosservicios[vrServicio]),)))),"")</f>
        <v/>
      </c>
      <c r="N45" s="33"/>
    </row>
    <row r="46" spans="3:14" x14ac:dyDescent="0.25">
      <c r="F46" s="30"/>
      <c r="G46" s="31"/>
      <c r="H46" s="38"/>
      <c r="I46" s="32"/>
      <c r="J46" s="32"/>
      <c r="K46" s="27"/>
      <c r="L46" s="11" t="str">
        <f>IF(F46&lt;&gt;"",IF(COUNTIF(tb_consultas[codConsulta],F46)&gt;0,COUNTIF(tb_consultas[codConsulta],F46),IF(COUNTIF(tb_procedimientos[codProcedimiento],F46),COUNTIF(tb_procedimientos[codProcedimiento],F46),IF(COUNTIF(tb_medicamentos[codTecnologiaSalud],F46)&gt;0,SUMIF(tb_medicamentos[codTecnologiaSalud],F46,tb_medicamentos[cantidadMedicamento]),IF(COUNTIF(tb_otrosservicios[codTecnologiaSalud],F46)&gt;0,SUMIF(tb_otrosservicios[codTecnologiaSalud],F46,tb_otrosservicios[cantidadOS]),)))),"")</f>
        <v/>
      </c>
      <c r="M46" s="26" t="str">
        <f>IF(F46&lt;&gt;"",IF(COUNTIF(tb_consultas[codConsulta],F46)&gt;0,SUMIF(tb_consultas[codConsulta],F46,tb_consultas[vrServicio]),IF(COUNTIF(tb_procedimientos[codProcedimiento],F46),SUMIF(tb_procedimientos[codProcedimiento],F46,tb_procedimientos[vrServicio]),IF(COUNTIF(tb_medicamentos[codTecnologiaSalud],F46)&gt;0,SUMIF(tb_medicamentos[codTecnologiaSalud],F46,tb_medicamentos[vrServicio]),IF(COUNTIF(tb_otrosservicios[codTecnologiaSalud],F46)&gt;0,SUMIF(tb_otrosservicios[codTecnologiaSalud],F46,tb_otrosservicios[vrServicio]),)))),"")</f>
        <v/>
      </c>
      <c r="N46" s="33"/>
    </row>
    <row r="47" spans="3:14" x14ac:dyDescent="0.25">
      <c r="F47" s="30"/>
      <c r="G47" s="31"/>
      <c r="H47" s="38"/>
      <c r="I47" s="32"/>
      <c r="J47" s="32"/>
      <c r="K47" s="27"/>
      <c r="L47" s="11" t="str">
        <f>IF(F47&lt;&gt;"",IF(COUNTIF(tb_consultas[codConsulta],F47)&gt;0,COUNTIF(tb_consultas[codConsulta],F47),IF(COUNTIF(tb_procedimientos[codProcedimiento],F47),COUNTIF(tb_procedimientos[codProcedimiento],F47),IF(COUNTIF(tb_medicamentos[codTecnologiaSalud],F47)&gt;0,SUMIF(tb_medicamentos[codTecnologiaSalud],F47,tb_medicamentos[cantidadMedicamento]),IF(COUNTIF(tb_otrosservicios[codTecnologiaSalud],F47)&gt;0,SUMIF(tb_otrosservicios[codTecnologiaSalud],F47,tb_otrosservicios[cantidadOS]),)))),"")</f>
        <v/>
      </c>
      <c r="M47" s="26" t="str">
        <f>IF(F47&lt;&gt;"",IF(COUNTIF(tb_consultas[codConsulta],F47)&gt;0,SUMIF(tb_consultas[codConsulta],F47,tb_consultas[vrServicio]),IF(COUNTIF(tb_procedimientos[codProcedimiento],F47),SUMIF(tb_procedimientos[codProcedimiento],F47,tb_procedimientos[vrServicio]),IF(COUNTIF(tb_medicamentos[codTecnologiaSalud],F47)&gt;0,SUMIF(tb_medicamentos[codTecnologiaSalud],F47,tb_medicamentos[vrServicio]),IF(COUNTIF(tb_otrosservicios[codTecnologiaSalud],F47)&gt;0,SUMIF(tb_otrosservicios[codTecnologiaSalud],F47,tb_otrosservicios[vrServicio]),)))),"")</f>
        <v/>
      </c>
      <c r="N47" s="33"/>
    </row>
    <row r="48" spans="3:14" x14ac:dyDescent="0.25">
      <c r="F48" s="30"/>
      <c r="G48" s="31"/>
      <c r="H48" s="38"/>
      <c r="I48" s="32"/>
      <c r="J48" s="32"/>
      <c r="K48" s="27"/>
      <c r="L48" s="11" t="str">
        <f>IF(F48&lt;&gt;"",IF(COUNTIF(tb_consultas[codConsulta],F48)&gt;0,COUNTIF(tb_consultas[codConsulta],F48),IF(COUNTIF(tb_procedimientos[codProcedimiento],F48),COUNTIF(tb_procedimientos[codProcedimiento],F48),IF(COUNTIF(tb_medicamentos[codTecnologiaSalud],F48)&gt;0,SUMIF(tb_medicamentos[codTecnologiaSalud],F48,tb_medicamentos[cantidadMedicamento]),IF(COUNTIF(tb_otrosservicios[codTecnologiaSalud],F48)&gt;0,SUMIF(tb_otrosservicios[codTecnologiaSalud],F48,tb_otrosservicios[cantidadOS]),)))),"")</f>
        <v/>
      </c>
      <c r="M48" s="26" t="str">
        <f>IF(F48&lt;&gt;"",IF(COUNTIF(tb_consultas[codConsulta],F48)&gt;0,SUMIF(tb_consultas[codConsulta],F48,tb_consultas[vrServicio]),IF(COUNTIF(tb_procedimientos[codProcedimiento],F48),SUMIF(tb_procedimientos[codProcedimiento],F48,tb_procedimientos[vrServicio]),IF(COUNTIF(tb_medicamentos[codTecnologiaSalud],F48)&gt;0,SUMIF(tb_medicamentos[codTecnologiaSalud],F48,tb_medicamentos[vrServicio]),IF(COUNTIF(tb_otrosservicios[codTecnologiaSalud],F48)&gt;0,SUMIF(tb_otrosservicios[codTecnologiaSalud],F48,tb_otrosservicios[vrServicio]),)))),"")</f>
        <v/>
      </c>
      <c r="N48" s="33"/>
    </row>
    <row r="49" spans="6:14" x14ac:dyDescent="0.25">
      <c r="F49" s="30"/>
      <c r="G49" s="31"/>
      <c r="H49" s="38"/>
      <c r="I49" s="32"/>
      <c r="J49" s="32"/>
      <c r="K49" s="27"/>
      <c r="L49" s="11" t="str">
        <f>IF(F49&lt;&gt;"",IF(COUNTIF(tb_consultas[codConsulta],F49)&gt;0,COUNTIF(tb_consultas[codConsulta],F49),IF(COUNTIF(tb_procedimientos[codProcedimiento],F49),COUNTIF(tb_procedimientos[codProcedimiento],F49),IF(COUNTIF(tb_medicamentos[codTecnologiaSalud],F49)&gt;0,SUMIF(tb_medicamentos[codTecnologiaSalud],F49,tb_medicamentos[cantidadMedicamento]),IF(COUNTIF(tb_otrosservicios[codTecnologiaSalud],F49)&gt;0,SUMIF(tb_otrosservicios[codTecnologiaSalud],F49,tb_otrosservicios[cantidadOS]),)))),"")</f>
        <v/>
      </c>
      <c r="M49" s="26" t="str">
        <f>IF(F49&lt;&gt;"",IF(COUNTIF(tb_consultas[codConsulta],F49)&gt;0,SUMIF(tb_consultas[codConsulta],F49,tb_consultas[vrServicio]),IF(COUNTIF(tb_procedimientos[codProcedimiento],F49),SUMIF(tb_procedimientos[codProcedimiento],F49,tb_procedimientos[vrServicio]),IF(COUNTIF(tb_medicamentos[codTecnologiaSalud],F49)&gt;0,SUMIF(tb_medicamentos[codTecnologiaSalud],F49,tb_medicamentos[vrServicio]),IF(COUNTIF(tb_otrosservicios[codTecnologiaSalud],F49)&gt;0,SUMIF(tb_otrosservicios[codTecnologiaSalud],F49,tb_otrosservicios[vrServicio]),)))),"")</f>
        <v/>
      </c>
      <c r="N49" s="33"/>
    </row>
    <row r="50" spans="6:14" x14ac:dyDescent="0.25">
      <c r="F50" s="30"/>
      <c r="G50" s="31"/>
      <c r="H50" s="38"/>
      <c r="I50" s="32"/>
      <c r="J50" s="32"/>
      <c r="K50" s="27"/>
      <c r="L50" s="11" t="str">
        <f>IF(F50&lt;&gt;"",IF(COUNTIF(tb_consultas[codConsulta],F50)&gt;0,COUNTIF(tb_consultas[codConsulta],F50),IF(COUNTIF(tb_procedimientos[codProcedimiento],F50),COUNTIF(tb_procedimientos[codProcedimiento],F50),IF(COUNTIF(tb_medicamentos[codTecnologiaSalud],F50)&gt;0,SUMIF(tb_medicamentos[codTecnologiaSalud],F50,tb_medicamentos[cantidadMedicamento]),IF(COUNTIF(tb_otrosservicios[codTecnologiaSalud],F50)&gt;0,SUMIF(tb_otrosservicios[codTecnologiaSalud],F50,tb_otrosservicios[cantidadOS]),)))),"")</f>
        <v/>
      </c>
      <c r="M50" s="26" t="str">
        <f>IF(F50&lt;&gt;"",IF(COUNTIF(tb_consultas[codConsulta],F50)&gt;0,SUMIF(tb_consultas[codConsulta],F50,tb_consultas[vrServicio]),IF(COUNTIF(tb_procedimientos[codProcedimiento],F50),SUMIF(tb_procedimientos[codProcedimiento],F50,tb_procedimientos[vrServicio]),IF(COUNTIF(tb_medicamentos[codTecnologiaSalud],F50)&gt;0,SUMIF(tb_medicamentos[codTecnologiaSalud],F50,tb_medicamentos[vrServicio]),IF(COUNTIF(tb_otrosservicios[codTecnologiaSalud],F50)&gt;0,SUMIF(tb_otrosservicios[codTecnologiaSalud],F50,tb_otrosservicios[vrServicio]),)))),"")</f>
        <v/>
      </c>
      <c r="N50" s="33"/>
    </row>
    <row r="51" spans="6:14" x14ac:dyDescent="0.25">
      <c r="F51" s="30"/>
      <c r="G51" s="31"/>
      <c r="H51" s="38"/>
      <c r="I51" s="32"/>
      <c r="J51" s="32"/>
      <c r="K51" s="27"/>
      <c r="L51" s="11" t="str">
        <f>IF(F51&lt;&gt;"",IF(COUNTIF(tb_consultas[codConsulta],F51)&gt;0,COUNTIF(tb_consultas[codConsulta],F51),IF(COUNTIF(tb_procedimientos[codProcedimiento],F51),COUNTIF(tb_procedimientos[codProcedimiento],F51),IF(COUNTIF(tb_medicamentos[codTecnologiaSalud],F51)&gt;0,SUMIF(tb_medicamentos[codTecnologiaSalud],F51,tb_medicamentos[cantidadMedicamento]),IF(COUNTIF(tb_otrosservicios[codTecnologiaSalud],F51)&gt;0,SUMIF(tb_otrosservicios[codTecnologiaSalud],F51,tb_otrosservicios[cantidadOS]),)))),"")</f>
        <v/>
      </c>
      <c r="M51" s="26" t="str">
        <f>IF(F51&lt;&gt;"",IF(COUNTIF(tb_consultas[codConsulta],F51)&gt;0,SUMIF(tb_consultas[codConsulta],F51,tb_consultas[vrServicio]),IF(COUNTIF(tb_procedimientos[codProcedimiento],F51),SUMIF(tb_procedimientos[codProcedimiento],F51,tb_procedimientos[vrServicio]),IF(COUNTIF(tb_medicamentos[codTecnologiaSalud],F51)&gt;0,SUMIF(tb_medicamentos[codTecnologiaSalud],F51,tb_medicamentos[vrServicio]),IF(COUNTIF(tb_otrosservicios[codTecnologiaSalud],F51)&gt;0,SUMIF(tb_otrosservicios[codTecnologiaSalud],F51,tb_otrosservicios[vrServicio]),)))),"")</f>
        <v/>
      </c>
      <c r="N51" s="33"/>
    </row>
    <row r="52" spans="6:14" x14ac:dyDescent="0.25">
      <c r="F52" s="30"/>
      <c r="G52" s="31"/>
      <c r="H52" s="38"/>
      <c r="I52" s="32"/>
      <c r="J52" s="32"/>
      <c r="K52" s="27"/>
      <c r="L52" s="11" t="str">
        <f>IF(F52&lt;&gt;"",IF(COUNTIF(tb_consultas[codConsulta],F52)&gt;0,COUNTIF(tb_consultas[codConsulta],F52),IF(COUNTIF(tb_procedimientos[codProcedimiento],F52),COUNTIF(tb_procedimientos[codProcedimiento],F52),IF(COUNTIF(tb_medicamentos[codTecnologiaSalud],F52)&gt;0,SUMIF(tb_medicamentos[codTecnologiaSalud],F52,tb_medicamentos[cantidadMedicamento]),IF(COUNTIF(tb_otrosservicios[codTecnologiaSalud],F52)&gt;0,SUMIF(tb_otrosservicios[codTecnologiaSalud],F52,tb_otrosservicios[cantidadOS]),)))),"")</f>
        <v/>
      </c>
      <c r="M52" s="26" t="str">
        <f>IF(F52&lt;&gt;"",IF(COUNTIF(tb_consultas[codConsulta],F52)&gt;0,SUMIF(tb_consultas[codConsulta],F52,tb_consultas[vrServicio]),IF(COUNTIF(tb_procedimientos[codProcedimiento],F52),SUMIF(tb_procedimientos[codProcedimiento],F52,tb_procedimientos[vrServicio]),IF(COUNTIF(tb_medicamentos[codTecnologiaSalud],F52)&gt;0,SUMIF(tb_medicamentos[codTecnologiaSalud],F52,tb_medicamentos[vrServicio]),IF(COUNTIF(tb_otrosservicios[codTecnologiaSalud],F52)&gt;0,SUMIF(tb_otrosservicios[codTecnologiaSalud],F52,tb_otrosservicios[vrServicio]),)))),"")</f>
        <v/>
      </c>
      <c r="N52" s="33"/>
    </row>
    <row r="53" spans="6:14" x14ac:dyDescent="0.25">
      <c r="F53" s="30"/>
      <c r="G53" s="31"/>
      <c r="H53" s="38"/>
      <c r="I53" s="32"/>
      <c r="J53" s="32"/>
      <c r="K53" s="27"/>
      <c r="L53" s="11" t="str">
        <f>IF(F53&lt;&gt;"",IF(COUNTIF(tb_consultas[codConsulta],F53)&gt;0,COUNTIF(tb_consultas[codConsulta],F53),IF(COUNTIF(tb_procedimientos[codProcedimiento],F53),COUNTIF(tb_procedimientos[codProcedimiento],F53),IF(COUNTIF(tb_medicamentos[codTecnologiaSalud],F53)&gt;0,SUMIF(tb_medicamentos[codTecnologiaSalud],F53,tb_medicamentos[cantidadMedicamento]),IF(COUNTIF(tb_otrosservicios[codTecnologiaSalud],F53)&gt;0,SUMIF(tb_otrosservicios[codTecnologiaSalud],F53,tb_otrosservicios[cantidadOS]),)))),"")</f>
        <v/>
      </c>
      <c r="M53" s="26" t="str">
        <f>IF(F53&lt;&gt;"",IF(COUNTIF(tb_consultas[codConsulta],F53)&gt;0,SUMIF(tb_consultas[codConsulta],F53,tb_consultas[vrServicio]),IF(COUNTIF(tb_procedimientos[codProcedimiento],F53),SUMIF(tb_procedimientos[codProcedimiento],F53,tb_procedimientos[vrServicio]),IF(COUNTIF(tb_medicamentos[codTecnologiaSalud],F53)&gt;0,SUMIF(tb_medicamentos[codTecnologiaSalud],F53,tb_medicamentos[vrServicio]),IF(COUNTIF(tb_otrosservicios[codTecnologiaSalud],F53)&gt;0,SUMIF(tb_otrosservicios[codTecnologiaSalud],F53,tb_otrosservicios[vrServicio]),)))),"")</f>
        <v/>
      </c>
      <c r="N53" s="33"/>
    </row>
    <row r="54" spans="6:14" x14ac:dyDescent="0.25">
      <c r="F54" s="30"/>
      <c r="G54" s="31"/>
      <c r="H54" s="38"/>
      <c r="I54" s="32"/>
      <c r="J54" s="32"/>
      <c r="K54" s="27"/>
      <c r="L54" s="11" t="str">
        <f>IF(F54&lt;&gt;"",IF(COUNTIF(tb_consultas[codConsulta],F54)&gt;0,COUNTIF(tb_consultas[codConsulta],F54),IF(COUNTIF(tb_procedimientos[codProcedimiento],F54),COUNTIF(tb_procedimientos[codProcedimiento],F54),IF(COUNTIF(tb_medicamentos[codTecnologiaSalud],F54)&gt;0,SUMIF(tb_medicamentos[codTecnologiaSalud],F54,tb_medicamentos[cantidadMedicamento]),IF(COUNTIF(tb_otrosservicios[codTecnologiaSalud],F54)&gt;0,SUMIF(tb_otrosservicios[codTecnologiaSalud],F54,tb_otrosservicios[cantidadOS]),)))),"")</f>
        <v/>
      </c>
      <c r="M54" s="26" t="str">
        <f>IF(F54&lt;&gt;"",IF(COUNTIF(tb_consultas[codConsulta],F54)&gt;0,SUMIF(tb_consultas[codConsulta],F54,tb_consultas[vrServicio]),IF(COUNTIF(tb_procedimientos[codProcedimiento],F54),SUMIF(tb_procedimientos[codProcedimiento],F54,tb_procedimientos[vrServicio]),IF(COUNTIF(tb_medicamentos[codTecnologiaSalud],F54)&gt;0,SUMIF(tb_medicamentos[codTecnologiaSalud],F54,tb_medicamentos[vrServicio]),IF(COUNTIF(tb_otrosservicios[codTecnologiaSalud],F54)&gt;0,SUMIF(tb_otrosservicios[codTecnologiaSalud],F54,tb_otrosservicios[vrServicio]),)))),"")</f>
        <v/>
      </c>
      <c r="N54" s="33"/>
    </row>
    <row r="55" spans="6:14" x14ac:dyDescent="0.25">
      <c r="F55" s="30"/>
      <c r="G55" s="31"/>
      <c r="H55" s="38"/>
      <c r="I55" s="32"/>
      <c r="J55" s="32"/>
      <c r="K55" s="27"/>
      <c r="L55" s="11" t="str">
        <f>IF(F55&lt;&gt;"",IF(COUNTIF(tb_consultas[codConsulta],F55)&gt;0,COUNTIF(tb_consultas[codConsulta],F55),IF(COUNTIF(tb_procedimientos[codProcedimiento],F55),COUNTIF(tb_procedimientos[codProcedimiento],F55),IF(COUNTIF(tb_medicamentos[codTecnologiaSalud],F55)&gt;0,SUMIF(tb_medicamentos[codTecnologiaSalud],F55,tb_medicamentos[cantidadMedicamento]),IF(COUNTIF(tb_otrosservicios[codTecnologiaSalud],F55)&gt;0,SUMIF(tb_otrosservicios[codTecnologiaSalud],F55,tb_otrosservicios[cantidadOS]),)))),"")</f>
        <v/>
      </c>
      <c r="M55" s="26" t="str">
        <f>IF(F55&lt;&gt;"",IF(COUNTIF(tb_consultas[codConsulta],F55)&gt;0,SUMIF(tb_consultas[codConsulta],F55,tb_consultas[vrServicio]),IF(COUNTIF(tb_procedimientos[codProcedimiento],F55),SUMIF(tb_procedimientos[codProcedimiento],F55,tb_procedimientos[vrServicio]),IF(COUNTIF(tb_medicamentos[codTecnologiaSalud],F55)&gt;0,SUMIF(tb_medicamentos[codTecnologiaSalud],F55,tb_medicamentos[vrServicio]),IF(COUNTIF(tb_otrosservicios[codTecnologiaSalud],F55)&gt;0,SUMIF(tb_otrosservicios[codTecnologiaSalud],F55,tb_otrosservicios[vrServicio]),)))),"")</f>
        <v/>
      </c>
      <c r="N55" s="33"/>
    </row>
    <row r="56" spans="6:14" x14ac:dyDescent="0.25">
      <c r="F56" s="30"/>
      <c r="G56" s="31"/>
      <c r="H56" s="38"/>
      <c r="I56" s="32"/>
      <c r="J56" s="32"/>
      <c r="K56" s="27"/>
      <c r="L56" s="11" t="str">
        <f>IF(F56&lt;&gt;"",IF(COUNTIF(tb_consultas[codConsulta],F56)&gt;0,COUNTIF(tb_consultas[codConsulta],F56),IF(COUNTIF(tb_procedimientos[codProcedimiento],F56),COUNTIF(tb_procedimientos[codProcedimiento],F56),IF(COUNTIF(tb_medicamentos[codTecnologiaSalud],F56)&gt;0,SUMIF(tb_medicamentos[codTecnologiaSalud],F56,tb_medicamentos[cantidadMedicamento]),IF(COUNTIF(tb_otrosservicios[codTecnologiaSalud],F56)&gt;0,SUMIF(tb_otrosservicios[codTecnologiaSalud],F56,tb_otrosservicios[cantidadOS]),)))),"")</f>
        <v/>
      </c>
      <c r="M56" s="26" t="str">
        <f>IF(F56&lt;&gt;"",IF(COUNTIF(tb_consultas[codConsulta],F56)&gt;0,SUMIF(tb_consultas[codConsulta],F56,tb_consultas[vrServicio]),IF(COUNTIF(tb_procedimientos[codProcedimiento],F56),SUMIF(tb_procedimientos[codProcedimiento],F56,tb_procedimientos[vrServicio]),IF(COUNTIF(tb_medicamentos[codTecnologiaSalud],F56)&gt;0,SUMIF(tb_medicamentos[codTecnologiaSalud],F56,tb_medicamentos[vrServicio]),IF(COUNTIF(tb_otrosservicios[codTecnologiaSalud],F56)&gt;0,SUMIF(tb_otrosservicios[codTecnologiaSalud],F56,tb_otrosservicios[vrServicio]),)))),"")</f>
        <v/>
      </c>
      <c r="N56" s="33"/>
    </row>
    <row r="57" spans="6:14" x14ac:dyDescent="0.25">
      <c r="F57" s="30"/>
      <c r="G57" s="31"/>
      <c r="H57" s="38"/>
      <c r="I57" s="32"/>
      <c r="J57" s="32"/>
      <c r="K57" s="27"/>
      <c r="L57" s="11" t="str">
        <f>IF(F57&lt;&gt;"",IF(COUNTIF(tb_consultas[codConsulta],F57)&gt;0,COUNTIF(tb_consultas[codConsulta],F57),IF(COUNTIF(tb_procedimientos[codProcedimiento],F57),COUNTIF(tb_procedimientos[codProcedimiento],F57),IF(COUNTIF(tb_medicamentos[codTecnologiaSalud],F57)&gt;0,SUMIF(tb_medicamentos[codTecnologiaSalud],F57,tb_medicamentos[cantidadMedicamento]),IF(COUNTIF(tb_otrosservicios[codTecnologiaSalud],F57)&gt;0,SUMIF(tb_otrosservicios[codTecnologiaSalud],F57,tb_otrosservicios[cantidadOS]),)))),"")</f>
        <v/>
      </c>
      <c r="M57" s="26" t="str">
        <f>IF(F57&lt;&gt;"",IF(COUNTIF(tb_consultas[codConsulta],F57)&gt;0,SUMIF(tb_consultas[codConsulta],F57,tb_consultas[vrServicio]),IF(COUNTIF(tb_procedimientos[codProcedimiento],F57),SUMIF(tb_procedimientos[codProcedimiento],F57,tb_procedimientos[vrServicio]),IF(COUNTIF(tb_medicamentos[codTecnologiaSalud],F57)&gt;0,SUMIF(tb_medicamentos[codTecnologiaSalud],F57,tb_medicamentos[vrServicio]),IF(COUNTIF(tb_otrosservicios[codTecnologiaSalud],F57)&gt;0,SUMIF(tb_otrosservicios[codTecnologiaSalud],F57,tb_otrosservicios[vrServicio]),)))),"")</f>
        <v/>
      </c>
      <c r="N57" s="33"/>
    </row>
    <row r="58" spans="6:14" x14ac:dyDescent="0.25">
      <c r="F58" s="30"/>
      <c r="G58" s="31"/>
      <c r="H58" s="38"/>
      <c r="I58" s="32"/>
      <c r="J58" s="32"/>
      <c r="K58" s="27"/>
      <c r="L58" s="11" t="str">
        <f>IF(F58&lt;&gt;"",IF(COUNTIF(tb_consultas[codConsulta],F58)&gt;0,COUNTIF(tb_consultas[codConsulta],F58),IF(COUNTIF(tb_procedimientos[codProcedimiento],F58),COUNTIF(tb_procedimientos[codProcedimiento],F58),IF(COUNTIF(tb_medicamentos[codTecnologiaSalud],F58)&gt;0,SUMIF(tb_medicamentos[codTecnologiaSalud],F58,tb_medicamentos[cantidadMedicamento]),IF(COUNTIF(tb_otrosservicios[codTecnologiaSalud],F58)&gt;0,SUMIF(tb_otrosservicios[codTecnologiaSalud],F58,tb_otrosservicios[cantidadOS]),)))),"")</f>
        <v/>
      </c>
      <c r="M58" s="26" t="str">
        <f>IF(F58&lt;&gt;"",IF(COUNTIF(tb_consultas[codConsulta],F58)&gt;0,SUMIF(tb_consultas[codConsulta],F58,tb_consultas[vrServicio]),IF(COUNTIF(tb_procedimientos[codProcedimiento],F58),SUMIF(tb_procedimientos[codProcedimiento],F58,tb_procedimientos[vrServicio]),IF(COUNTIF(tb_medicamentos[codTecnologiaSalud],F58)&gt;0,SUMIF(tb_medicamentos[codTecnologiaSalud],F58,tb_medicamentos[vrServicio]),IF(COUNTIF(tb_otrosservicios[codTecnologiaSalud],F58)&gt;0,SUMIF(tb_otrosservicios[codTecnologiaSalud],F58,tb_otrosservicios[vrServicio]),)))),"")</f>
        <v/>
      </c>
      <c r="N58" s="33"/>
    </row>
    <row r="59" spans="6:14" x14ac:dyDescent="0.25">
      <c r="F59" s="30"/>
      <c r="G59" s="31"/>
      <c r="H59" s="38"/>
      <c r="I59" s="32"/>
      <c r="J59" s="32"/>
      <c r="K59" s="27"/>
      <c r="L59" s="11" t="str">
        <f>IF(F59&lt;&gt;"",IF(COUNTIF(tb_consultas[codConsulta],F59)&gt;0,COUNTIF(tb_consultas[codConsulta],F59),IF(COUNTIF(tb_procedimientos[codProcedimiento],F59),COUNTIF(tb_procedimientos[codProcedimiento],F59),IF(COUNTIF(tb_medicamentos[codTecnologiaSalud],F59)&gt;0,SUMIF(tb_medicamentos[codTecnologiaSalud],F59,tb_medicamentos[cantidadMedicamento]),IF(COUNTIF(tb_otrosservicios[codTecnologiaSalud],F59)&gt;0,SUMIF(tb_otrosservicios[codTecnologiaSalud],F59,tb_otrosservicios[cantidadOS]),)))),"")</f>
        <v/>
      </c>
      <c r="M59" s="26" t="str">
        <f>IF(F59&lt;&gt;"",IF(COUNTIF(tb_consultas[codConsulta],F59)&gt;0,SUMIF(tb_consultas[codConsulta],F59,tb_consultas[vrServicio]),IF(COUNTIF(tb_procedimientos[codProcedimiento],F59),SUMIF(tb_procedimientos[codProcedimiento],F59,tb_procedimientos[vrServicio]),IF(COUNTIF(tb_medicamentos[codTecnologiaSalud],F59)&gt;0,SUMIF(tb_medicamentos[codTecnologiaSalud],F59,tb_medicamentos[vrServicio]),IF(COUNTIF(tb_otrosservicios[codTecnologiaSalud],F59)&gt;0,SUMIF(tb_otrosservicios[codTecnologiaSalud],F59,tb_otrosservicios[vrServicio]),)))),"")</f>
        <v/>
      </c>
      <c r="N59" s="33"/>
    </row>
    <row r="60" spans="6:14" x14ac:dyDescent="0.25">
      <c r="F60" s="30"/>
      <c r="G60" s="31"/>
      <c r="H60" s="38"/>
      <c r="I60" s="32"/>
      <c r="J60" s="32"/>
      <c r="K60" s="27"/>
      <c r="L60" s="11" t="str">
        <f>IF(F60&lt;&gt;"",IF(COUNTIF(tb_consultas[codConsulta],F60)&gt;0,COUNTIF(tb_consultas[codConsulta],F60),IF(COUNTIF(tb_procedimientos[codProcedimiento],F60),COUNTIF(tb_procedimientos[codProcedimiento],F60),IF(COUNTIF(tb_medicamentos[codTecnologiaSalud],F60)&gt;0,SUMIF(tb_medicamentos[codTecnologiaSalud],F60,tb_medicamentos[cantidadMedicamento]),IF(COUNTIF(tb_otrosservicios[codTecnologiaSalud],F60)&gt;0,SUMIF(tb_otrosservicios[codTecnologiaSalud],F60,tb_otrosservicios[cantidadOS]),)))),"")</f>
        <v/>
      </c>
      <c r="M60" s="26" t="str">
        <f>IF(F60&lt;&gt;"",IF(COUNTIF(tb_consultas[codConsulta],F60)&gt;0,SUMIF(tb_consultas[codConsulta],F60,tb_consultas[vrServicio]),IF(COUNTIF(tb_procedimientos[codProcedimiento],F60),SUMIF(tb_procedimientos[codProcedimiento],F60,tb_procedimientos[vrServicio]),IF(COUNTIF(tb_medicamentos[codTecnologiaSalud],F60)&gt;0,SUMIF(tb_medicamentos[codTecnologiaSalud],F60,tb_medicamentos[vrServicio]),IF(COUNTIF(tb_otrosservicios[codTecnologiaSalud],F60)&gt;0,SUMIF(tb_otrosservicios[codTecnologiaSalud],F60,tb_otrosservicios[vrServicio]),)))),"")</f>
        <v/>
      </c>
      <c r="N60" s="33"/>
    </row>
    <row r="61" spans="6:14" x14ac:dyDescent="0.25">
      <c r="F61" s="30"/>
      <c r="G61" s="31"/>
      <c r="H61" s="38"/>
      <c r="I61" s="32"/>
      <c r="J61" s="32"/>
      <c r="K61" s="27"/>
      <c r="L61" s="11" t="str">
        <f>IF(F61&lt;&gt;"",IF(COUNTIF(tb_consultas[codConsulta],F61)&gt;0,COUNTIF(tb_consultas[codConsulta],F61),IF(COUNTIF(tb_procedimientos[codProcedimiento],F61),COUNTIF(tb_procedimientos[codProcedimiento],F61),IF(COUNTIF(tb_medicamentos[codTecnologiaSalud],F61)&gt;0,SUMIF(tb_medicamentos[codTecnologiaSalud],F61,tb_medicamentos[cantidadMedicamento]),IF(COUNTIF(tb_otrosservicios[codTecnologiaSalud],F61)&gt;0,SUMIF(tb_otrosservicios[codTecnologiaSalud],F61,tb_otrosservicios[cantidadOS]),)))),"")</f>
        <v/>
      </c>
      <c r="M61" s="26" t="str">
        <f>IF(F61&lt;&gt;"",IF(COUNTIF(tb_consultas[codConsulta],F61)&gt;0,SUMIF(tb_consultas[codConsulta],F61,tb_consultas[vrServicio]),IF(COUNTIF(tb_procedimientos[codProcedimiento],F61),SUMIF(tb_procedimientos[codProcedimiento],F61,tb_procedimientos[vrServicio]),IF(COUNTIF(tb_medicamentos[codTecnologiaSalud],F61)&gt;0,SUMIF(tb_medicamentos[codTecnologiaSalud],F61,tb_medicamentos[vrServicio]),IF(COUNTIF(tb_otrosservicios[codTecnologiaSalud],F61)&gt;0,SUMIF(tb_otrosservicios[codTecnologiaSalud],F61,tb_otrosservicios[vrServicio]),)))),"")</f>
        <v/>
      </c>
      <c r="N61" s="33"/>
    </row>
    <row r="62" spans="6:14" x14ac:dyDescent="0.25">
      <c r="F62" s="30"/>
      <c r="G62" s="31"/>
      <c r="H62" s="38"/>
      <c r="I62" s="32"/>
      <c r="J62" s="32"/>
      <c r="K62" s="27"/>
      <c r="L62" s="11" t="str">
        <f>IF(F62&lt;&gt;"",IF(COUNTIF(tb_consultas[codConsulta],F62)&gt;0,COUNTIF(tb_consultas[codConsulta],F62),IF(COUNTIF(tb_procedimientos[codProcedimiento],F62),COUNTIF(tb_procedimientos[codProcedimiento],F62),IF(COUNTIF(tb_medicamentos[codTecnologiaSalud],F62)&gt;0,SUMIF(tb_medicamentos[codTecnologiaSalud],F62,tb_medicamentos[cantidadMedicamento]),IF(COUNTIF(tb_otrosservicios[codTecnologiaSalud],F62)&gt;0,SUMIF(tb_otrosservicios[codTecnologiaSalud],F62,tb_otrosservicios[cantidadOS]),)))),"")</f>
        <v/>
      </c>
      <c r="M62" s="26" t="str">
        <f>IF(F62&lt;&gt;"",IF(COUNTIF(tb_consultas[codConsulta],F62)&gt;0,SUMIF(tb_consultas[codConsulta],F62,tb_consultas[vrServicio]),IF(COUNTIF(tb_procedimientos[codProcedimiento],F62),SUMIF(tb_procedimientos[codProcedimiento],F62,tb_procedimientos[vrServicio]),IF(COUNTIF(tb_medicamentos[codTecnologiaSalud],F62)&gt;0,SUMIF(tb_medicamentos[codTecnologiaSalud],F62,tb_medicamentos[vrServicio]),IF(COUNTIF(tb_otrosservicios[codTecnologiaSalud],F62)&gt;0,SUMIF(tb_otrosservicios[codTecnologiaSalud],F62,tb_otrosservicios[vrServicio]),)))),"")</f>
        <v/>
      </c>
      <c r="N62" s="33"/>
    </row>
    <row r="63" spans="6:14" x14ac:dyDescent="0.25">
      <c r="F63" s="30"/>
      <c r="G63" s="31"/>
      <c r="H63" s="38"/>
      <c r="I63" s="32"/>
      <c r="J63" s="32"/>
      <c r="K63" s="27"/>
      <c r="L63" s="11" t="str">
        <f>IF(F63&lt;&gt;"",IF(COUNTIF(tb_consultas[codConsulta],F63)&gt;0,COUNTIF(tb_consultas[codConsulta],F63),IF(COUNTIF(tb_procedimientos[codProcedimiento],F63),COUNTIF(tb_procedimientos[codProcedimiento],F63),IF(COUNTIF(tb_medicamentos[codTecnologiaSalud],F63)&gt;0,SUMIF(tb_medicamentos[codTecnologiaSalud],F63,tb_medicamentos[cantidadMedicamento]),IF(COUNTIF(tb_otrosservicios[codTecnologiaSalud],F63)&gt;0,SUMIF(tb_otrosservicios[codTecnologiaSalud],F63,tb_otrosservicios[cantidadOS]),)))),"")</f>
        <v/>
      </c>
      <c r="M63" s="26" t="str">
        <f>IF(F63&lt;&gt;"",IF(COUNTIF(tb_consultas[codConsulta],F63)&gt;0,SUMIF(tb_consultas[codConsulta],F63,tb_consultas[vrServicio]),IF(COUNTIF(tb_procedimientos[codProcedimiento],F63),SUMIF(tb_procedimientos[codProcedimiento],F63,tb_procedimientos[vrServicio]),IF(COUNTIF(tb_medicamentos[codTecnologiaSalud],F63)&gt;0,SUMIF(tb_medicamentos[codTecnologiaSalud],F63,tb_medicamentos[vrServicio]),IF(COUNTIF(tb_otrosservicios[codTecnologiaSalud],F63)&gt;0,SUMIF(tb_otrosservicios[codTecnologiaSalud],F63,tb_otrosservicios[vrServicio]),)))),"")</f>
        <v/>
      </c>
      <c r="N63" s="33"/>
    </row>
    <row r="64" spans="6:14" x14ac:dyDescent="0.25">
      <c r="F64" s="30"/>
      <c r="G64" s="31"/>
      <c r="H64" s="38"/>
      <c r="I64" s="32"/>
      <c r="J64" s="32"/>
      <c r="K64" s="27"/>
      <c r="L64" s="11" t="str">
        <f>IF(F64&lt;&gt;"",IF(COUNTIF(tb_consultas[codConsulta],F64)&gt;0,COUNTIF(tb_consultas[codConsulta],F64),IF(COUNTIF(tb_procedimientos[codProcedimiento],F64),COUNTIF(tb_procedimientos[codProcedimiento],F64),IF(COUNTIF(tb_medicamentos[codTecnologiaSalud],F64)&gt;0,SUMIF(tb_medicamentos[codTecnologiaSalud],F64,tb_medicamentos[cantidadMedicamento]),IF(COUNTIF(tb_otrosservicios[codTecnologiaSalud],F64)&gt;0,SUMIF(tb_otrosservicios[codTecnologiaSalud],F64,tb_otrosservicios[cantidadOS]),)))),"")</f>
        <v/>
      </c>
      <c r="M64" s="26" t="str">
        <f>IF(F64&lt;&gt;"",IF(COUNTIF(tb_consultas[codConsulta],F64)&gt;0,SUMIF(tb_consultas[codConsulta],F64,tb_consultas[vrServicio]),IF(COUNTIF(tb_procedimientos[codProcedimiento],F64),SUMIF(tb_procedimientos[codProcedimiento],F64,tb_procedimientos[vrServicio]),IF(COUNTIF(tb_medicamentos[codTecnologiaSalud],F64)&gt;0,SUMIF(tb_medicamentos[codTecnologiaSalud],F64,tb_medicamentos[vrServicio]),IF(COUNTIF(tb_otrosservicios[codTecnologiaSalud],F64)&gt;0,SUMIF(tb_otrosservicios[codTecnologiaSalud],F64,tb_otrosservicios[vrServicio]),)))),"")</f>
        <v/>
      </c>
      <c r="N64" s="33"/>
    </row>
    <row r="65" spans="6:14" x14ac:dyDescent="0.25">
      <c r="F65" s="30"/>
      <c r="G65" s="31"/>
      <c r="H65" s="38"/>
      <c r="I65" s="32"/>
      <c r="J65" s="32"/>
      <c r="K65" s="27"/>
      <c r="L65" s="11" t="str">
        <f>IF(F65&lt;&gt;"",IF(COUNTIF(tb_consultas[codConsulta],F65)&gt;0,COUNTIF(tb_consultas[codConsulta],F65),IF(COUNTIF(tb_procedimientos[codProcedimiento],F65),COUNTIF(tb_procedimientos[codProcedimiento],F65),IF(COUNTIF(tb_medicamentos[codTecnologiaSalud],F65)&gt;0,SUMIF(tb_medicamentos[codTecnologiaSalud],F65,tb_medicamentos[cantidadMedicamento]),IF(COUNTIF(tb_otrosservicios[codTecnologiaSalud],F65)&gt;0,SUMIF(tb_otrosservicios[codTecnologiaSalud],F65,tb_otrosservicios[cantidadOS]),)))),"")</f>
        <v/>
      </c>
      <c r="M65" s="26" t="str">
        <f>IF(F65&lt;&gt;"",IF(COUNTIF(tb_consultas[codConsulta],F65)&gt;0,SUMIF(tb_consultas[codConsulta],F65,tb_consultas[vrServicio]),IF(COUNTIF(tb_procedimientos[codProcedimiento],F65),SUMIF(tb_procedimientos[codProcedimiento],F65,tb_procedimientos[vrServicio]),IF(COUNTIF(tb_medicamentos[codTecnologiaSalud],F65)&gt;0,SUMIF(tb_medicamentos[codTecnologiaSalud],F65,tb_medicamentos[vrServicio]),IF(COUNTIF(tb_otrosservicios[codTecnologiaSalud],F65)&gt;0,SUMIF(tb_otrosservicios[codTecnologiaSalud],F65,tb_otrosservicios[vrServicio]),)))),"")</f>
        <v/>
      </c>
      <c r="N65" s="33"/>
    </row>
    <row r="66" spans="6:14" x14ac:dyDescent="0.25">
      <c r="F66" s="30"/>
      <c r="G66" s="31"/>
      <c r="H66" s="38"/>
      <c r="I66" s="32"/>
      <c r="J66" s="32"/>
      <c r="K66" s="27"/>
      <c r="L66" s="11" t="str">
        <f>IF(F66&lt;&gt;"",IF(COUNTIF(tb_consultas[codConsulta],F66)&gt;0,COUNTIF(tb_consultas[codConsulta],F66),IF(COUNTIF(tb_procedimientos[codProcedimiento],F66),COUNTIF(tb_procedimientos[codProcedimiento],F66),IF(COUNTIF(tb_medicamentos[codTecnologiaSalud],F66)&gt;0,SUMIF(tb_medicamentos[codTecnologiaSalud],F66,tb_medicamentos[cantidadMedicamento]),IF(COUNTIF(tb_otrosservicios[codTecnologiaSalud],F66)&gt;0,SUMIF(tb_otrosservicios[codTecnologiaSalud],F66,tb_otrosservicios[cantidadOS]),)))),"")</f>
        <v/>
      </c>
      <c r="M66" s="26" t="str">
        <f>IF(F66&lt;&gt;"",IF(COUNTIF(tb_consultas[codConsulta],F66)&gt;0,SUMIF(tb_consultas[codConsulta],F66,tb_consultas[vrServicio]),IF(COUNTIF(tb_procedimientos[codProcedimiento],F66),SUMIF(tb_procedimientos[codProcedimiento],F66,tb_procedimientos[vrServicio]),IF(COUNTIF(tb_medicamentos[codTecnologiaSalud],F66)&gt;0,SUMIF(tb_medicamentos[codTecnologiaSalud],F66,tb_medicamentos[vrServicio]),IF(COUNTIF(tb_otrosservicios[codTecnologiaSalud],F66)&gt;0,SUMIF(tb_otrosservicios[codTecnologiaSalud],F66,tb_otrosservicios[vrServicio]),)))),"")</f>
        <v/>
      </c>
      <c r="N66" s="33"/>
    </row>
    <row r="67" spans="6:14" x14ac:dyDescent="0.25">
      <c r="F67" s="30"/>
      <c r="G67" s="31"/>
      <c r="H67" s="38"/>
      <c r="I67" s="32"/>
      <c r="J67" s="32"/>
      <c r="K67" s="27"/>
      <c r="L67" s="11" t="str">
        <f>IF(F67&lt;&gt;"",IF(COUNTIF(tb_consultas[codConsulta],F67)&gt;0,COUNTIF(tb_consultas[codConsulta],F67),IF(COUNTIF(tb_procedimientos[codProcedimiento],F67),COUNTIF(tb_procedimientos[codProcedimiento],F67),IF(COUNTIF(tb_medicamentos[codTecnologiaSalud],F67)&gt;0,SUMIF(tb_medicamentos[codTecnologiaSalud],F67,tb_medicamentos[cantidadMedicamento]),IF(COUNTIF(tb_otrosservicios[codTecnologiaSalud],F67)&gt;0,SUMIF(tb_otrosservicios[codTecnologiaSalud],F67,tb_otrosservicios[cantidadOS]),)))),"")</f>
        <v/>
      </c>
      <c r="M67" s="26" t="str">
        <f>IF(F67&lt;&gt;"",IF(COUNTIF(tb_consultas[codConsulta],F67)&gt;0,SUMIF(tb_consultas[codConsulta],F67,tb_consultas[vrServicio]),IF(COUNTIF(tb_procedimientos[codProcedimiento],F67),SUMIF(tb_procedimientos[codProcedimiento],F67,tb_procedimientos[vrServicio]),IF(COUNTIF(tb_medicamentos[codTecnologiaSalud],F67)&gt;0,SUMIF(tb_medicamentos[codTecnologiaSalud],F67,tb_medicamentos[vrServicio]),IF(COUNTIF(tb_otrosservicios[codTecnologiaSalud],F67)&gt;0,SUMIF(tb_otrosservicios[codTecnologiaSalud],F67,tb_otrosservicios[vrServicio]),)))),"")</f>
        <v/>
      </c>
      <c r="N67" s="33"/>
    </row>
    <row r="68" spans="6:14" x14ac:dyDescent="0.25">
      <c r="F68" s="30"/>
      <c r="G68" s="31"/>
      <c r="H68" s="38"/>
      <c r="I68" s="32"/>
      <c r="J68" s="32"/>
      <c r="K68" s="27"/>
      <c r="L68" s="11" t="str">
        <f>IF(F68&lt;&gt;"",IF(COUNTIF(tb_consultas[codConsulta],F68)&gt;0,COUNTIF(tb_consultas[codConsulta],F68),IF(COUNTIF(tb_procedimientos[codProcedimiento],F68),COUNTIF(tb_procedimientos[codProcedimiento],F68),IF(COUNTIF(tb_medicamentos[codTecnologiaSalud],F68)&gt;0,SUMIF(tb_medicamentos[codTecnologiaSalud],F68,tb_medicamentos[cantidadMedicamento]),IF(COUNTIF(tb_otrosservicios[codTecnologiaSalud],F68)&gt;0,SUMIF(tb_otrosservicios[codTecnologiaSalud],F68,tb_otrosservicios[cantidadOS]),)))),"")</f>
        <v/>
      </c>
      <c r="M68" s="26" t="str">
        <f>IF(F68&lt;&gt;"",IF(COUNTIF(tb_consultas[codConsulta],F68)&gt;0,SUMIF(tb_consultas[codConsulta],F68,tb_consultas[vrServicio]),IF(COUNTIF(tb_procedimientos[codProcedimiento],F68),SUMIF(tb_procedimientos[codProcedimiento],F68,tb_procedimientos[vrServicio]),IF(COUNTIF(tb_medicamentos[codTecnologiaSalud],F68)&gt;0,SUMIF(tb_medicamentos[codTecnologiaSalud],F68,tb_medicamentos[vrServicio]),IF(COUNTIF(tb_otrosservicios[codTecnologiaSalud],F68)&gt;0,SUMIF(tb_otrosservicios[codTecnologiaSalud],F68,tb_otrosservicios[vrServicio]),)))),"")</f>
        <v/>
      </c>
      <c r="N68" s="33"/>
    </row>
    <row r="69" spans="6:14" x14ac:dyDescent="0.25">
      <c r="F69" s="30"/>
      <c r="G69" s="31"/>
      <c r="H69" s="38"/>
      <c r="I69" s="32"/>
      <c r="J69" s="32"/>
      <c r="K69" s="27"/>
      <c r="L69" s="11" t="str">
        <f>IF(F69&lt;&gt;"",IF(COUNTIF(tb_consultas[codConsulta],F69)&gt;0,COUNTIF(tb_consultas[codConsulta],F69),IF(COUNTIF(tb_procedimientos[codProcedimiento],F69),COUNTIF(tb_procedimientos[codProcedimiento],F69),IF(COUNTIF(tb_medicamentos[codTecnologiaSalud],F69)&gt;0,SUMIF(tb_medicamentos[codTecnologiaSalud],F69,tb_medicamentos[cantidadMedicamento]),IF(COUNTIF(tb_otrosservicios[codTecnologiaSalud],F69)&gt;0,SUMIF(tb_otrosservicios[codTecnologiaSalud],F69,tb_otrosservicios[cantidadOS]),)))),"")</f>
        <v/>
      </c>
      <c r="M69" s="26" t="str">
        <f>IF(F69&lt;&gt;"",IF(COUNTIF(tb_consultas[codConsulta],F69)&gt;0,SUMIF(tb_consultas[codConsulta],F69,tb_consultas[vrServicio]),IF(COUNTIF(tb_procedimientos[codProcedimiento],F69),SUMIF(tb_procedimientos[codProcedimiento],F69,tb_procedimientos[vrServicio]),IF(COUNTIF(tb_medicamentos[codTecnologiaSalud],F69)&gt;0,SUMIF(tb_medicamentos[codTecnologiaSalud],F69,tb_medicamentos[vrServicio]),IF(COUNTIF(tb_otrosservicios[codTecnologiaSalud],F69)&gt;0,SUMIF(tb_otrosservicios[codTecnologiaSalud],F69,tb_otrosservicios[vrServicio]),)))),"")</f>
        <v/>
      </c>
      <c r="N69" s="33"/>
    </row>
    <row r="70" spans="6:14" x14ac:dyDescent="0.25">
      <c r="F70" s="30"/>
      <c r="G70" s="31"/>
      <c r="H70" s="38"/>
      <c r="I70" s="32"/>
      <c r="J70" s="32"/>
      <c r="K70" s="27"/>
      <c r="L70" s="11" t="str">
        <f>IF(F70&lt;&gt;"",IF(COUNTIF(tb_consultas[codConsulta],F70)&gt;0,COUNTIF(tb_consultas[codConsulta],F70),IF(COUNTIF(tb_procedimientos[codProcedimiento],F70),COUNTIF(tb_procedimientos[codProcedimiento],F70),IF(COUNTIF(tb_medicamentos[codTecnologiaSalud],F70)&gt;0,SUMIF(tb_medicamentos[codTecnologiaSalud],F70,tb_medicamentos[cantidadMedicamento]),IF(COUNTIF(tb_otrosservicios[codTecnologiaSalud],F70)&gt;0,SUMIF(tb_otrosservicios[codTecnologiaSalud],F70,tb_otrosservicios[cantidadOS]),)))),"")</f>
        <v/>
      </c>
      <c r="M70" s="26" t="str">
        <f>IF(F70&lt;&gt;"",IF(COUNTIF(tb_consultas[codConsulta],F70)&gt;0,SUMIF(tb_consultas[codConsulta],F70,tb_consultas[vrServicio]),IF(COUNTIF(tb_procedimientos[codProcedimiento],F70),SUMIF(tb_procedimientos[codProcedimiento],F70,tb_procedimientos[vrServicio]),IF(COUNTIF(tb_medicamentos[codTecnologiaSalud],F70)&gt;0,SUMIF(tb_medicamentos[codTecnologiaSalud],F70,tb_medicamentos[vrServicio]),IF(COUNTIF(tb_otrosservicios[codTecnologiaSalud],F70)&gt;0,SUMIF(tb_otrosservicios[codTecnologiaSalud],F70,tb_otrosservicios[vrServicio]),)))),"")</f>
        <v/>
      </c>
      <c r="N70" s="33"/>
    </row>
    <row r="71" spans="6:14" x14ac:dyDescent="0.25">
      <c r="F71" s="30"/>
      <c r="G71" s="31"/>
      <c r="H71" s="38"/>
      <c r="I71" s="32"/>
      <c r="J71" s="32"/>
      <c r="K71" s="27"/>
      <c r="L71" s="11" t="str">
        <f>IF(F71&lt;&gt;"",IF(COUNTIF(tb_consultas[codConsulta],F71)&gt;0,COUNTIF(tb_consultas[codConsulta],F71),IF(COUNTIF(tb_procedimientos[codProcedimiento],F71),COUNTIF(tb_procedimientos[codProcedimiento],F71),IF(COUNTIF(tb_medicamentos[codTecnologiaSalud],F71)&gt;0,SUMIF(tb_medicamentos[codTecnologiaSalud],F71,tb_medicamentos[cantidadMedicamento]),IF(COUNTIF(tb_otrosservicios[codTecnologiaSalud],F71)&gt;0,SUMIF(tb_otrosservicios[codTecnologiaSalud],F71,tb_otrosservicios[cantidadOS]),)))),"")</f>
        <v/>
      </c>
      <c r="M71" s="26" t="str">
        <f>IF(F71&lt;&gt;"",IF(COUNTIF(tb_consultas[codConsulta],F71)&gt;0,SUMIF(tb_consultas[codConsulta],F71,tb_consultas[vrServicio]),IF(COUNTIF(tb_procedimientos[codProcedimiento],F71),SUMIF(tb_procedimientos[codProcedimiento],F71,tb_procedimientos[vrServicio]),IF(COUNTIF(tb_medicamentos[codTecnologiaSalud],F71)&gt;0,SUMIF(tb_medicamentos[codTecnologiaSalud],F71,tb_medicamentos[vrServicio]),IF(COUNTIF(tb_otrosservicios[codTecnologiaSalud],F71)&gt;0,SUMIF(tb_otrosservicios[codTecnologiaSalud],F71,tb_otrosservicios[vrServicio]),)))),"")</f>
        <v/>
      </c>
      <c r="N71" s="33"/>
    </row>
    <row r="72" spans="6:14" x14ac:dyDescent="0.25">
      <c r="F72" s="30"/>
      <c r="G72" s="31"/>
      <c r="H72" s="38"/>
      <c r="I72" s="32"/>
      <c r="J72" s="32"/>
      <c r="K72" s="27"/>
      <c r="L72" s="11" t="str">
        <f>IF(F72&lt;&gt;"",IF(COUNTIF(tb_consultas[codConsulta],F72)&gt;0,COUNTIF(tb_consultas[codConsulta],F72),IF(COUNTIF(tb_procedimientos[codProcedimiento],F72),COUNTIF(tb_procedimientos[codProcedimiento],F72),IF(COUNTIF(tb_medicamentos[codTecnologiaSalud],F72)&gt;0,SUMIF(tb_medicamentos[codTecnologiaSalud],F72,tb_medicamentos[cantidadMedicamento]),IF(COUNTIF(tb_otrosservicios[codTecnologiaSalud],F72)&gt;0,SUMIF(tb_otrosservicios[codTecnologiaSalud],F72,tb_otrosservicios[cantidadOS]),)))),"")</f>
        <v/>
      </c>
      <c r="M72" s="26" t="str">
        <f>IF(F72&lt;&gt;"",IF(COUNTIF(tb_consultas[codConsulta],F72)&gt;0,SUMIF(tb_consultas[codConsulta],F72,tb_consultas[vrServicio]),IF(COUNTIF(tb_procedimientos[codProcedimiento],F72),SUMIF(tb_procedimientos[codProcedimiento],F72,tb_procedimientos[vrServicio]),IF(COUNTIF(tb_medicamentos[codTecnologiaSalud],F72)&gt;0,SUMIF(tb_medicamentos[codTecnologiaSalud],F72,tb_medicamentos[vrServicio]),IF(COUNTIF(tb_otrosservicios[codTecnologiaSalud],F72)&gt;0,SUMIF(tb_otrosservicios[codTecnologiaSalud],F72,tb_otrosservicios[vrServicio]),)))),"")</f>
        <v/>
      </c>
      <c r="N72" s="33"/>
    </row>
    <row r="73" spans="6:14" x14ac:dyDescent="0.25">
      <c r="F73" s="30"/>
      <c r="G73" s="31"/>
      <c r="H73" s="38"/>
      <c r="I73" s="32"/>
      <c r="J73" s="32"/>
      <c r="K73" s="27"/>
      <c r="L73" s="11" t="str">
        <f>IF(F73&lt;&gt;"",IF(COUNTIF(tb_consultas[codConsulta],F73)&gt;0,COUNTIF(tb_consultas[codConsulta],F73),IF(COUNTIF(tb_procedimientos[codProcedimiento],F73),COUNTIF(tb_procedimientos[codProcedimiento],F73),IF(COUNTIF(tb_medicamentos[codTecnologiaSalud],F73)&gt;0,SUMIF(tb_medicamentos[codTecnologiaSalud],F73,tb_medicamentos[cantidadMedicamento]),IF(COUNTIF(tb_otrosservicios[codTecnologiaSalud],F73)&gt;0,SUMIF(tb_otrosservicios[codTecnologiaSalud],F73,tb_otrosservicios[cantidadOS]),)))),"")</f>
        <v/>
      </c>
      <c r="M73" s="26" t="str">
        <f>IF(F73&lt;&gt;"",IF(COUNTIF(tb_consultas[codConsulta],F73)&gt;0,SUMIF(tb_consultas[codConsulta],F73,tb_consultas[vrServicio]),IF(COUNTIF(tb_procedimientos[codProcedimiento],F73),SUMIF(tb_procedimientos[codProcedimiento],F73,tb_procedimientos[vrServicio]),IF(COUNTIF(tb_medicamentos[codTecnologiaSalud],F73)&gt;0,SUMIF(tb_medicamentos[codTecnologiaSalud],F73,tb_medicamentos[vrServicio]),IF(COUNTIF(tb_otrosservicios[codTecnologiaSalud],F73)&gt;0,SUMIF(tb_otrosservicios[codTecnologiaSalud],F73,tb_otrosservicios[vrServicio]),)))),"")</f>
        <v/>
      </c>
      <c r="N73" s="33"/>
    </row>
    <row r="74" spans="6:14" x14ac:dyDescent="0.25">
      <c r="F74" s="30"/>
      <c r="G74" s="31"/>
      <c r="H74" s="38"/>
      <c r="I74" s="32"/>
      <c r="J74" s="32"/>
      <c r="K74" s="27"/>
      <c r="L74" s="11" t="str">
        <f>IF(F74&lt;&gt;"",IF(COUNTIF(tb_consultas[codConsulta],F74)&gt;0,COUNTIF(tb_consultas[codConsulta],F74),IF(COUNTIF(tb_procedimientos[codProcedimiento],F74),COUNTIF(tb_procedimientos[codProcedimiento],F74),IF(COUNTIF(tb_medicamentos[codTecnologiaSalud],F74)&gt;0,SUMIF(tb_medicamentos[codTecnologiaSalud],F74,tb_medicamentos[cantidadMedicamento]),IF(COUNTIF(tb_otrosservicios[codTecnologiaSalud],F74)&gt;0,SUMIF(tb_otrosservicios[codTecnologiaSalud],F74,tb_otrosservicios[cantidadOS]),)))),"")</f>
        <v/>
      </c>
      <c r="M74" s="26" t="str">
        <f>IF(F74&lt;&gt;"",IF(COUNTIF(tb_consultas[codConsulta],F74)&gt;0,SUMIF(tb_consultas[codConsulta],F74,tb_consultas[vrServicio]),IF(COUNTIF(tb_procedimientos[codProcedimiento],F74),SUMIF(tb_procedimientos[codProcedimiento],F74,tb_procedimientos[vrServicio]),IF(COUNTIF(tb_medicamentos[codTecnologiaSalud],F74)&gt;0,SUMIF(tb_medicamentos[codTecnologiaSalud],F74,tb_medicamentos[vrServicio]),IF(COUNTIF(tb_otrosservicios[codTecnologiaSalud],F74)&gt;0,SUMIF(tb_otrosservicios[codTecnologiaSalud],F74,tb_otrosservicios[vrServicio]),)))),"")</f>
        <v/>
      </c>
      <c r="N74" s="33"/>
    </row>
    <row r="75" spans="6:14" x14ac:dyDescent="0.25">
      <c r="F75" s="30"/>
      <c r="G75" s="31"/>
      <c r="H75" s="38"/>
      <c r="I75" s="32"/>
      <c r="J75" s="32"/>
      <c r="K75" s="27"/>
      <c r="L75" s="11" t="str">
        <f>IF(F75&lt;&gt;"",IF(COUNTIF(tb_consultas[codConsulta],F75)&gt;0,COUNTIF(tb_consultas[codConsulta],F75),IF(COUNTIF(tb_procedimientos[codProcedimiento],F75),COUNTIF(tb_procedimientos[codProcedimiento],F75),IF(COUNTIF(tb_medicamentos[codTecnologiaSalud],F75)&gt;0,SUMIF(tb_medicamentos[codTecnologiaSalud],F75,tb_medicamentos[cantidadMedicamento]),IF(COUNTIF(tb_otrosservicios[codTecnologiaSalud],F75)&gt;0,SUMIF(tb_otrosservicios[codTecnologiaSalud],F75,tb_otrosservicios[cantidadOS]),)))),"")</f>
        <v/>
      </c>
      <c r="M75" s="26" t="str">
        <f>IF(F75&lt;&gt;"",IF(COUNTIF(tb_consultas[codConsulta],F75)&gt;0,SUMIF(tb_consultas[codConsulta],F75,tb_consultas[vrServicio]),IF(COUNTIF(tb_procedimientos[codProcedimiento],F75),SUMIF(tb_procedimientos[codProcedimiento],F75,tb_procedimientos[vrServicio]),IF(COUNTIF(tb_medicamentos[codTecnologiaSalud],F75)&gt;0,SUMIF(tb_medicamentos[codTecnologiaSalud],F75,tb_medicamentos[vrServicio]),IF(COUNTIF(tb_otrosservicios[codTecnologiaSalud],F75)&gt;0,SUMIF(tb_otrosservicios[codTecnologiaSalud],F75,tb_otrosservicios[vrServicio]),)))),"")</f>
        <v/>
      </c>
      <c r="N75" s="33"/>
    </row>
    <row r="76" spans="6:14" x14ac:dyDescent="0.25">
      <c r="F76" s="30"/>
      <c r="G76" s="31"/>
      <c r="H76" s="38"/>
      <c r="I76" s="32"/>
      <c r="J76" s="32"/>
      <c r="K76" s="27"/>
      <c r="L76" s="11" t="str">
        <f>IF(F76&lt;&gt;"",IF(COUNTIF(tb_consultas[codConsulta],F76)&gt;0,COUNTIF(tb_consultas[codConsulta],F76),IF(COUNTIF(tb_procedimientos[codProcedimiento],F76),COUNTIF(tb_procedimientos[codProcedimiento],F76),IF(COUNTIF(tb_medicamentos[codTecnologiaSalud],F76)&gt;0,SUMIF(tb_medicamentos[codTecnologiaSalud],F76,tb_medicamentos[cantidadMedicamento]),IF(COUNTIF(tb_otrosservicios[codTecnologiaSalud],F76)&gt;0,SUMIF(tb_otrosservicios[codTecnologiaSalud],F76,tb_otrosservicios[cantidadOS]),)))),"")</f>
        <v/>
      </c>
      <c r="M76" s="26" t="str">
        <f>IF(F76&lt;&gt;"",IF(COUNTIF(tb_consultas[codConsulta],F76)&gt;0,SUMIF(tb_consultas[codConsulta],F76,tb_consultas[vrServicio]),IF(COUNTIF(tb_procedimientos[codProcedimiento],F76),SUMIF(tb_procedimientos[codProcedimiento],F76,tb_procedimientos[vrServicio]),IF(COUNTIF(tb_medicamentos[codTecnologiaSalud],F76)&gt;0,SUMIF(tb_medicamentos[codTecnologiaSalud],F76,tb_medicamentos[vrServicio]),IF(COUNTIF(tb_otrosservicios[codTecnologiaSalud],F76)&gt;0,SUMIF(tb_otrosservicios[codTecnologiaSalud],F76,tb_otrosservicios[vrServicio]),)))),"")</f>
        <v/>
      </c>
      <c r="N76" s="33"/>
    </row>
    <row r="77" spans="6:14" x14ac:dyDescent="0.25">
      <c r="F77" s="30"/>
      <c r="G77" s="31"/>
      <c r="H77" s="38"/>
      <c r="I77" s="32"/>
      <c r="J77" s="32"/>
      <c r="K77" s="27"/>
      <c r="L77" s="11" t="str">
        <f>IF(F77&lt;&gt;"",IF(COUNTIF(tb_consultas[codConsulta],F77)&gt;0,COUNTIF(tb_consultas[codConsulta],F77),IF(COUNTIF(tb_procedimientos[codProcedimiento],F77),COUNTIF(tb_procedimientos[codProcedimiento],F77),IF(COUNTIF(tb_medicamentos[codTecnologiaSalud],F77)&gt;0,SUMIF(tb_medicamentos[codTecnologiaSalud],F77,tb_medicamentos[cantidadMedicamento]),IF(COUNTIF(tb_otrosservicios[codTecnologiaSalud],F77)&gt;0,SUMIF(tb_otrosservicios[codTecnologiaSalud],F77,tb_otrosservicios[cantidadOS]),)))),"")</f>
        <v/>
      </c>
      <c r="M77" s="26" t="str">
        <f>IF(F77&lt;&gt;"",IF(COUNTIF(tb_consultas[codConsulta],F77)&gt;0,SUMIF(tb_consultas[codConsulta],F77,tb_consultas[vrServicio]),IF(COUNTIF(tb_procedimientos[codProcedimiento],F77),SUMIF(tb_procedimientos[codProcedimiento],F77,tb_procedimientos[vrServicio]),IF(COUNTIF(tb_medicamentos[codTecnologiaSalud],F77)&gt;0,SUMIF(tb_medicamentos[codTecnologiaSalud],F77,tb_medicamentos[vrServicio]),IF(COUNTIF(tb_otrosservicios[codTecnologiaSalud],F77)&gt;0,SUMIF(tb_otrosservicios[codTecnologiaSalud],F77,tb_otrosservicios[vrServicio]),)))),"")</f>
        <v/>
      </c>
      <c r="N77" s="33"/>
    </row>
    <row r="78" spans="6:14" x14ac:dyDescent="0.25">
      <c r="F78" s="30"/>
      <c r="G78" s="31"/>
      <c r="H78" s="38"/>
      <c r="I78" s="32"/>
      <c r="J78" s="32"/>
      <c r="K78" s="27"/>
      <c r="L78" s="11" t="str">
        <f>IF(F78&lt;&gt;"",IF(COUNTIF(tb_consultas[codConsulta],F78)&gt;0,COUNTIF(tb_consultas[codConsulta],F78),IF(COUNTIF(tb_procedimientos[codProcedimiento],F78),COUNTIF(tb_procedimientos[codProcedimiento],F78),IF(COUNTIF(tb_medicamentos[codTecnologiaSalud],F78)&gt;0,SUMIF(tb_medicamentos[codTecnologiaSalud],F78,tb_medicamentos[cantidadMedicamento]),IF(COUNTIF(tb_otrosservicios[codTecnologiaSalud],F78)&gt;0,SUMIF(tb_otrosservicios[codTecnologiaSalud],F78,tb_otrosservicios[cantidadOS]),)))),"")</f>
        <v/>
      </c>
      <c r="M78" s="26" t="str">
        <f>IF(F78&lt;&gt;"",IF(COUNTIF(tb_consultas[codConsulta],F78)&gt;0,SUMIF(tb_consultas[codConsulta],F78,tb_consultas[vrServicio]),IF(COUNTIF(tb_procedimientos[codProcedimiento],F78),SUMIF(tb_procedimientos[codProcedimiento],F78,tb_procedimientos[vrServicio]),IF(COUNTIF(tb_medicamentos[codTecnologiaSalud],F78)&gt;0,SUMIF(tb_medicamentos[codTecnologiaSalud],F78,tb_medicamentos[vrServicio]),IF(COUNTIF(tb_otrosservicios[codTecnologiaSalud],F78)&gt;0,SUMIF(tb_otrosservicios[codTecnologiaSalud],F78,tb_otrosservicios[vrServicio]),)))),"")</f>
        <v/>
      </c>
      <c r="N78" s="33"/>
    </row>
    <row r="79" spans="6:14" x14ac:dyDescent="0.25">
      <c r="F79" s="30"/>
      <c r="G79" s="31"/>
      <c r="H79" s="38"/>
      <c r="I79" s="32"/>
      <c r="J79" s="32"/>
      <c r="K79" s="27"/>
      <c r="L79" s="11" t="str">
        <f>IF(F79&lt;&gt;"",IF(COUNTIF(tb_consultas[codConsulta],F79)&gt;0,COUNTIF(tb_consultas[codConsulta],F79),IF(COUNTIF(tb_procedimientos[codProcedimiento],F79),COUNTIF(tb_procedimientos[codProcedimiento],F79),IF(COUNTIF(tb_medicamentos[codTecnologiaSalud],F79)&gt;0,SUMIF(tb_medicamentos[codTecnologiaSalud],F79,tb_medicamentos[cantidadMedicamento]),IF(COUNTIF(tb_otrosservicios[codTecnologiaSalud],F79)&gt;0,SUMIF(tb_otrosservicios[codTecnologiaSalud],F79,tb_otrosservicios[cantidadOS]),)))),"")</f>
        <v/>
      </c>
      <c r="M79" s="26" t="str">
        <f>IF(F79&lt;&gt;"",IF(COUNTIF(tb_consultas[codConsulta],F79)&gt;0,SUMIF(tb_consultas[codConsulta],F79,tb_consultas[vrServicio]),IF(COUNTIF(tb_procedimientos[codProcedimiento],F79),SUMIF(tb_procedimientos[codProcedimiento],F79,tb_procedimientos[vrServicio]),IF(COUNTIF(tb_medicamentos[codTecnologiaSalud],F79)&gt;0,SUMIF(tb_medicamentos[codTecnologiaSalud],F79,tb_medicamentos[vrServicio]),IF(COUNTIF(tb_otrosservicios[codTecnologiaSalud],F79)&gt;0,SUMIF(tb_otrosservicios[codTecnologiaSalud],F79,tb_otrosservicios[vrServicio]),)))),"")</f>
        <v/>
      </c>
      <c r="N79" s="33"/>
    </row>
    <row r="80" spans="6:14" x14ac:dyDescent="0.25">
      <c r="F80" s="30"/>
      <c r="G80" s="31"/>
      <c r="H80" s="38"/>
      <c r="I80" s="32"/>
      <c r="J80" s="32"/>
      <c r="K80" s="27"/>
      <c r="L80" s="11" t="str">
        <f>IF(F80&lt;&gt;"",IF(COUNTIF(tb_consultas[codConsulta],F80)&gt;0,COUNTIF(tb_consultas[codConsulta],F80),IF(COUNTIF(tb_procedimientos[codProcedimiento],F80),COUNTIF(tb_procedimientos[codProcedimiento],F80),IF(COUNTIF(tb_medicamentos[codTecnologiaSalud],F80)&gt;0,SUMIF(tb_medicamentos[codTecnologiaSalud],F80,tb_medicamentos[cantidadMedicamento]),IF(COUNTIF(tb_otrosservicios[codTecnologiaSalud],F80)&gt;0,SUMIF(tb_otrosservicios[codTecnologiaSalud],F80,tb_otrosservicios[cantidadOS]),)))),"")</f>
        <v/>
      </c>
      <c r="M80" s="26" t="str">
        <f>IF(F80&lt;&gt;"",IF(COUNTIF(tb_consultas[codConsulta],F80)&gt;0,SUMIF(tb_consultas[codConsulta],F80,tb_consultas[vrServicio]),IF(COUNTIF(tb_procedimientos[codProcedimiento],F80),SUMIF(tb_procedimientos[codProcedimiento],F80,tb_procedimientos[vrServicio]),IF(COUNTIF(tb_medicamentos[codTecnologiaSalud],F80)&gt;0,SUMIF(tb_medicamentos[codTecnologiaSalud],F80,tb_medicamentos[vrServicio]),IF(COUNTIF(tb_otrosservicios[codTecnologiaSalud],F80)&gt;0,SUMIF(tb_otrosservicios[codTecnologiaSalud],F80,tb_otrosservicios[vrServicio]),)))),"")</f>
        <v/>
      </c>
      <c r="N80" s="33"/>
    </row>
    <row r="81" spans="6:14" x14ac:dyDescent="0.25">
      <c r="F81" s="30"/>
      <c r="G81" s="31"/>
      <c r="H81" s="38"/>
      <c r="I81" s="32"/>
      <c r="J81" s="32"/>
      <c r="K81" s="27"/>
      <c r="L81" s="11" t="str">
        <f>IF(F81&lt;&gt;"",IF(COUNTIF(tb_consultas[codConsulta],F81)&gt;0,COUNTIF(tb_consultas[codConsulta],F81),IF(COUNTIF(tb_procedimientos[codProcedimiento],F81),COUNTIF(tb_procedimientos[codProcedimiento],F81),IF(COUNTIF(tb_medicamentos[codTecnologiaSalud],F81)&gt;0,SUMIF(tb_medicamentos[codTecnologiaSalud],F81,tb_medicamentos[cantidadMedicamento]),IF(COUNTIF(tb_otrosservicios[codTecnologiaSalud],F81)&gt;0,SUMIF(tb_otrosservicios[codTecnologiaSalud],F81,tb_otrosservicios[cantidadOS]),)))),"")</f>
        <v/>
      </c>
      <c r="M81" s="26" t="str">
        <f>IF(F81&lt;&gt;"",IF(COUNTIF(tb_consultas[codConsulta],F81)&gt;0,SUMIF(tb_consultas[codConsulta],F81,tb_consultas[vrServicio]),IF(COUNTIF(tb_procedimientos[codProcedimiento],F81),SUMIF(tb_procedimientos[codProcedimiento],F81,tb_procedimientos[vrServicio]),IF(COUNTIF(tb_medicamentos[codTecnologiaSalud],F81)&gt;0,SUMIF(tb_medicamentos[codTecnologiaSalud],F81,tb_medicamentos[vrServicio]),IF(COUNTIF(tb_otrosservicios[codTecnologiaSalud],F81)&gt;0,SUMIF(tb_otrosservicios[codTecnologiaSalud],F81,tb_otrosservicios[vrServicio]),)))),"")</f>
        <v/>
      </c>
      <c r="N81" s="33"/>
    </row>
    <row r="82" spans="6:14" x14ac:dyDescent="0.25">
      <c r="F82" s="30"/>
      <c r="G82" s="31"/>
      <c r="H82" s="38"/>
      <c r="I82" s="32"/>
      <c r="J82" s="32"/>
      <c r="K82" s="27"/>
      <c r="L82" s="11" t="str">
        <f>IF(F82&lt;&gt;"",IF(COUNTIF(tb_consultas[codConsulta],F82)&gt;0,COUNTIF(tb_consultas[codConsulta],F82),IF(COUNTIF(tb_procedimientos[codProcedimiento],F82),COUNTIF(tb_procedimientos[codProcedimiento],F82),IF(COUNTIF(tb_medicamentos[codTecnologiaSalud],F82)&gt;0,SUMIF(tb_medicamentos[codTecnologiaSalud],F82,tb_medicamentos[cantidadMedicamento]),IF(COUNTIF(tb_otrosservicios[codTecnologiaSalud],F82)&gt;0,SUMIF(tb_otrosservicios[codTecnologiaSalud],F82,tb_otrosservicios[cantidadOS]),)))),"")</f>
        <v/>
      </c>
      <c r="M82" s="26" t="str">
        <f>IF(F82&lt;&gt;"",IF(COUNTIF(tb_consultas[codConsulta],F82)&gt;0,SUMIF(tb_consultas[codConsulta],F82,tb_consultas[vrServicio]),IF(COUNTIF(tb_procedimientos[codProcedimiento],F82),SUMIF(tb_procedimientos[codProcedimiento],F82,tb_procedimientos[vrServicio]),IF(COUNTIF(tb_medicamentos[codTecnologiaSalud],F82)&gt;0,SUMIF(tb_medicamentos[codTecnologiaSalud],F82,tb_medicamentos[vrServicio]),IF(COUNTIF(tb_otrosservicios[codTecnologiaSalud],F82)&gt;0,SUMIF(tb_otrosservicios[codTecnologiaSalud],F82,tb_otrosservicios[vrServicio]),)))),"")</f>
        <v/>
      </c>
      <c r="N82" s="33"/>
    </row>
    <row r="83" spans="6:14" x14ac:dyDescent="0.25">
      <c r="F83" s="30"/>
      <c r="G83" s="31"/>
      <c r="H83" s="38"/>
      <c r="I83" s="32"/>
      <c r="J83" s="32"/>
      <c r="K83" s="27"/>
      <c r="L83" s="11" t="str">
        <f>IF(F83&lt;&gt;"",IF(COUNTIF(tb_consultas[codConsulta],F83)&gt;0,COUNTIF(tb_consultas[codConsulta],F83),IF(COUNTIF(tb_procedimientos[codProcedimiento],F83),COUNTIF(tb_procedimientos[codProcedimiento],F83),IF(COUNTIF(tb_medicamentos[codTecnologiaSalud],F83)&gt;0,SUMIF(tb_medicamentos[codTecnologiaSalud],F83,tb_medicamentos[cantidadMedicamento]),IF(COUNTIF(tb_otrosservicios[codTecnologiaSalud],F83)&gt;0,SUMIF(tb_otrosservicios[codTecnologiaSalud],F83,tb_otrosservicios[cantidadOS]),)))),"")</f>
        <v/>
      </c>
      <c r="M83" s="26" t="str">
        <f>IF(F83&lt;&gt;"",IF(COUNTIF(tb_consultas[codConsulta],F83)&gt;0,SUMIF(tb_consultas[codConsulta],F83,tb_consultas[vrServicio]),IF(COUNTIF(tb_procedimientos[codProcedimiento],F83),SUMIF(tb_procedimientos[codProcedimiento],F83,tb_procedimientos[vrServicio]),IF(COUNTIF(tb_medicamentos[codTecnologiaSalud],F83)&gt;0,SUMIF(tb_medicamentos[codTecnologiaSalud],F83,tb_medicamentos[vrServicio]),IF(COUNTIF(tb_otrosservicios[codTecnologiaSalud],F83)&gt;0,SUMIF(tb_otrosservicios[codTecnologiaSalud],F83,tb_otrosservicios[vrServicio]),)))),"")</f>
        <v/>
      </c>
      <c r="N83" s="33"/>
    </row>
    <row r="84" spans="6:14" x14ac:dyDescent="0.25">
      <c r="F84" s="30"/>
      <c r="G84" s="31"/>
      <c r="H84" s="38"/>
      <c r="I84" s="32"/>
      <c r="J84" s="32"/>
      <c r="K84" s="27"/>
      <c r="L84" s="11" t="str">
        <f>IF(F84&lt;&gt;"",IF(COUNTIF(tb_consultas[codConsulta],F84)&gt;0,COUNTIF(tb_consultas[codConsulta],F84),IF(COUNTIF(tb_procedimientos[codProcedimiento],F84),COUNTIF(tb_procedimientos[codProcedimiento],F84),IF(COUNTIF(tb_medicamentos[codTecnologiaSalud],F84)&gt;0,SUMIF(tb_medicamentos[codTecnologiaSalud],F84,tb_medicamentos[cantidadMedicamento]),IF(COUNTIF(tb_otrosservicios[codTecnologiaSalud],F84)&gt;0,SUMIF(tb_otrosservicios[codTecnologiaSalud],F84,tb_otrosservicios[cantidadOS]),)))),"")</f>
        <v/>
      </c>
      <c r="M84" s="26" t="str">
        <f>IF(F84&lt;&gt;"",IF(COUNTIF(tb_consultas[codConsulta],F84)&gt;0,SUMIF(tb_consultas[codConsulta],F84,tb_consultas[vrServicio]),IF(COUNTIF(tb_procedimientos[codProcedimiento],F84),SUMIF(tb_procedimientos[codProcedimiento],F84,tb_procedimientos[vrServicio]),IF(COUNTIF(tb_medicamentos[codTecnologiaSalud],F84)&gt;0,SUMIF(tb_medicamentos[codTecnologiaSalud],F84,tb_medicamentos[vrServicio]),IF(COUNTIF(tb_otrosservicios[codTecnologiaSalud],F84)&gt;0,SUMIF(tb_otrosservicios[codTecnologiaSalud],F84,tb_otrosservicios[vrServicio]),)))),"")</f>
        <v/>
      </c>
      <c r="N84" s="33"/>
    </row>
    <row r="85" spans="6:14" x14ac:dyDescent="0.25">
      <c r="F85" s="30"/>
      <c r="G85" s="31"/>
      <c r="H85" s="38"/>
      <c r="I85" s="32"/>
      <c r="J85" s="32"/>
      <c r="K85" s="27"/>
      <c r="L85" s="11" t="str">
        <f>IF(F85&lt;&gt;"",IF(COUNTIF(tb_consultas[codConsulta],F85)&gt;0,COUNTIF(tb_consultas[codConsulta],F85),IF(COUNTIF(tb_procedimientos[codProcedimiento],F85),COUNTIF(tb_procedimientos[codProcedimiento],F85),IF(COUNTIF(tb_medicamentos[codTecnologiaSalud],F85)&gt;0,SUMIF(tb_medicamentos[codTecnologiaSalud],F85,tb_medicamentos[cantidadMedicamento]),IF(COUNTIF(tb_otrosservicios[codTecnologiaSalud],F85)&gt;0,SUMIF(tb_otrosservicios[codTecnologiaSalud],F85,tb_otrosservicios[cantidadOS]),)))),"")</f>
        <v/>
      </c>
      <c r="M85" s="26" t="str">
        <f>IF(F85&lt;&gt;"",IF(COUNTIF(tb_consultas[codConsulta],F85)&gt;0,SUMIF(tb_consultas[codConsulta],F85,tb_consultas[vrServicio]),IF(COUNTIF(tb_procedimientos[codProcedimiento],F85),SUMIF(tb_procedimientos[codProcedimiento],F85,tb_procedimientos[vrServicio]),IF(COUNTIF(tb_medicamentos[codTecnologiaSalud],F85)&gt;0,SUMIF(tb_medicamentos[codTecnologiaSalud],F85,tb_medicamentos[vrServicio]),IF(COUNTIF(tb_otrosservicios[codTecnologiaSalud],F85)&gt;0,SUMIF(tb_otrosservicios[codTecnologiaSalud],F85,tb_otrosservicios[vrServicio]),)))),"")</f>
        <v/>
      </c>
      <c r="N85" s="33"/>
    </row>
    <row r="86" spans="6:14" x14ac:dyDescent="0.25">
      <c r="F86" s="30"/>
      <c r="G86" s="31"/>
      <c r="H86" s="38"/>
      <c r="I86" s="32"/>
      <c r="J86" s="32"/>
      <c r="K86" s="27"/>
      <c r="L86" s="11" t="str">
        <f>IF(F86&lt;&gt;"",IF(COUNTIF(tb_consultas[codConsulta],F86)&gt;0,COUNTIF(tb_consultas[codConsulta],F86),IF(COUNTIF(tb_procedimientos[codProcedimiento],F86),COUNTIF(tb_procedimientos[codProcedimiento],F86),IF(COUNTIF(tb_medicamentos[codTecnologiaSalud],F86)&gt;0,SUMIF(tb_medicamentos[codTecnologiaSalud],F86,tb_medicamentos[cantidadMedicamento]),IF(COUNTIF(tb_otrosservicios[codTecnologiaSalud],F86)&gt;0,SUMIF(tb_otrosservicios[codTecnologiaSalud],F86,tb_otrosservicios[cantidadOS]),)))),"")</f>
        <v/>
      </c>
      <c r="M86" s="26" t="str">
        <f>IF(F86&lt;&gt;"",IF(COUNTIF(tb_consultas[codConsulta],F86)&gt;0,SUMIF(tb_consultas[codConsulta],F86,tb_consultas[vrServicio]),IF(COUNTIF(tb_procedimientos[codProcedimiento],F86),SUMIF(tb_procedimientos[codProcedimiento],F86,tb_procedimientos[vrServicio]),IF(COUNTIF(tb_medicamentos[codTecnologiaSalud],F86)&gt;0,SUMIF(tb_medicamentos[codTecnologiaSalud],F86,tb_medicamentos[vrServicio]),IF(COUNTIF(tb_otrosservicios[codTecnologiaSalud],F86)&gt;0,SUMIF(tb_otrosservicios[codTecnologiaSalud],F86,tb_otrosservicios[vrServicio]),)))),"")</f>
        <v/>
      </c>
      <c r="N86" s="33"/>
    </row>
    <row r="87" spans="6:14" x14ac:dyDescent="0.25">
      <c r="F87" s="30"/>
      <c r="G87" s="31"/>
      <c r="H87" s="38"/>
      <c r="I87" s="32"/>
      <c r="J87" s="32"/>
      <c r="K87" s="27"/>
      <c r="L87" s="11" t="str">
        <f>IF(F87&lt;&gt;"",IF(COUNTIF(tb_consultas[codConsulta],F87)&gt;0,COUNTIF(tb_consultas[codConsulta],F87),IF(COUNTIF(tb_procedimientos[codProcedimiento],F87),COUNTIF(tb_procedimientos[codProcedimiento],F87),IF(COUNTIF(tb_medicamentos[codTecnologiaSalud],F87)&gt;0,SUMIF(tb_medicamentos[codTecnologiaSalud],F87,tb_medicamentos[cantidadMedicamento]),IF(COUNTIF(tb_otrosservicios[codTecnologiaSalud],F87)&gt;0,SUMIF(tb_otrosservicios[codTecnologiaSalud],F87,tb_otrosservicios[cantidadOS]),)))),"")</f>
        <v/>
      </c>
      <c r="M87" s="26" t="str">
        <f>IF(F87&lt;&gt;"",IF(COUNTIF(tb_consultas[codConsulta],F87)&gt;0,SUMIF(tb_consultas[codConsulta],F87,tb_consultas[vrServicio]),IF(COUNTIF(tb_procedimientos[codProcedimiento],F87),SUMIF(tb_procedimientos[codProcedimiento],F87,tb_procedimientos[vrServicio]),IF(COUNTIF(tb_medicamentos[codTecnologiaSalud],F87)&gt;0,SUMIF(tb_medicamentos[codTecnologiaSalud],F87,tb_medicamentos[vrServicio]),IF(COUNTIF(tb_otrosservicios[codTecnologiaSalud],F87)&gt;0,SUMIF(tb_otrosservicios[codTecnologiaSalud],F87,tb_otrosservicios[vrServicio]),)))),"")</f>
        <v/>
      </c>
      <c r="N87" s="33"/>
    </row>
    <row r="88" spans="6:14" x14ac:dyDescent="0.25">
      <c r="F88" s="30"/>
      <c r="G88" s="31"/>
      <c r="H88" s="38"/>
      <c r="I88" s="32"/>
      <c r="J88" s="32"/>
      <c r="K88" s="27"/>
      <c r="L88" s="11" t="str">
        <f>IF(F88&lt;&gt;"",IF(COUNTIF(tb_consultas[codConsulta],F88)&gt;0,COUNTIF(tb_consultas[codConsulta],F88),IF(COUNTIF(tb_procedimientos[codProcedimiento],F88),COUNTIF(tb_procedimientos[codProcedimiento],F88),IF(COUNTIF(tb_medicamentos[codTecnologiaSalud],F88)&gt;0,SUMIF(tb_medicamentos[codTecnologiaSalud],F88,tb_medicamentos[cantidadMedicamento]),IF(COUNTIF(tb_otrosservicios[codTecnologiaSalud],F88)&gt;0,SUMIF(tb_otrosservicios[codTecnologiaSalud],F88,tb_otrosservicios[cantidadOS]),)))),"")</f>
        <v/>
      </c>
      <c r="M88" s="26" t="str">
        <f>IF(F88&lt;&gt;"",IF(COUNTIF(tb_consultas[codConsulta],F88)&gt;0,SUMIF(tb_consultas[codConsulta],F88,tb_consultas[vrServicio]),IF(COUNTIF(tb_procedimientos[codProcedimiento],F88),SUMIF(tb_procedimientos[codProcedimiento],F88,tb_procedimientos[vrServicio]),IF(COUNTIF(tb_medicamentos[codTecnologiaSalud],F88)&gt;0,SUMIF(tb_medicamentos[codTecnologiaSalud],F88,tb_medicamentos[vrServicio]),IF(COUNTIF(tb_otrosservicios[codTecnologiaSalud],F88)&gt;0,SUMIF(tb_otrosservicios[codTecnologiaSalud],F88,tb_otrosservicios[vrServicio]),)))),"")</f>
        <v/>
      </c>
      <c r="N88" s="33"/>
    </row>
    <row r="89" spans="6:14" x14ac:dyDescent="0.25">
      <c r="F89" s="30"/>
      <c r="G89" s="31"/>
      <c r="H89" s="38"/>
      <c r="I89" s="32"/>
      <c r="J89" s="32"/>
      <c r="K89" s="27"/>
      <c r="L89" s="11" t="str">
        <f>IF(F89&lt;&gt;"",IF(COUNTIF(tb_consultas[codConsulta],F89)&gt;0,COUNTIF(tb_consultas[codConsulta],F89),IF(COUNTIF(tb_procedimientos[codProcedimiento],F89),COUNTIF(tb_procedimientos[codProcedimiento],F89),IF(COUNTIF(tb_medicamentos[codTecnologiaSalud],F89)&gt;0,SUMIF(tb_medicamentos[codTecnologiaSalud],F89,tb_medicamentos[cantidadMedicamento]),IF(COUNTIF(tb_otrosservicios[codTecnologiaSalud],F89)&gt;0,SUMIF(tb_otrosservicios[codTecnologiaSalud],F89,tb_otrosservicios[cantidadOS]),)))),"")</f>
        <v/>
      </c>
      <c r="M89" s="26" t="str">
        <f>IF(F89&lt;&gt;"",IF(COUNTIF(tb_consultas[codConsulta],F89)&gt;0,SUMIF(tb_consultas[codConsulta],F89,tb_consultas[vrServicio]),IF(COUNTIF(tb_procedimientos[codProcedimiento],F89),SUMIF(tb_procedimientos[codProcedimiento],F89,tb_procedimientos[vrServicio]),IF(COUNTIF(tb_medicamentos[codTecnologiaSalud],F89)&gt;0,SUMIF(tb_medicamentos[codTecnologiaSalud],F89,tb_medicamentos[vrServicio]),IF(COUNTIF(tb_otrosservicios[codTecnologiaSalud],F89)&gt;0,SUMIF(tb_otrosservicios[codTecnologiaSalud],F89,tb_otrosservicios[vrServicio]),)))),"")</f>
        <v/>
      </c>
      <c r="N89" s="33"/>
    </row>
    <row r="90" spans="6:14" x14ac:dyDescent="0.25">
      <c r="F90" s="30"/>
      <c r="G90" s="31"/>
      <c r="H90" s="38"/>
      <c r="I90" s="32"/>
      <c r="J90" s="32"/>
      <c r="K90" s="27"/>
      <c r="L90" s="11" t="str">
        <f>IF(F90&lt;&gt;"",IF(COUNTIF(tb_consultas[codConsulta],F90)&gt;0,COUNTIF(tb_consultas[codConsulta],F90),IF(COUNTIF(tb_procedimientos[codProcedimiento],F90),COUNTIF(tb_procedimientos[codProcedimiento],F90),IF(COUNTIF(tb_medicamentos[codTecnologiaSalud],F90)&gt;0,SUMIF(tb_medicamentos[codTecnologiaSalud],F90,tb_medicamentos[cantidadMedicamento]),IF(COUNTIF(tb_otrosservicios[codTecnologiaSalud],F90)&gt;0,SUMIF(tb_otrosservicios[codTecnologiaSalud],F90,tb_otrosservicios[cantidadOS]),)))),"")</f>
        <v/>
      </c>
      <c r="M90" s="26" t="str">
        <f>IF(F90&lt;&gt;"",IF(COUNTIF(tb_consultas[codConsulta],F90)&gt;0,SUMIF(tb_consultas[codConsulta],F90,tb_consultas[vrServicio]),IF(COUNTIF(tb_procedimientos[codProcedimiento],F90),SUMIF(tb_procedimientos[codProcedimiento],F90,tb_procedimientos[vrServicio]),IF(COUNTIF(tb_medicamentos[codTecnologiaSalud],F90)&gt;0,SUMIF(tb_medicamentos[codTecnologiaSalud],F90,tb_medicamentos[vrServicio]),IF(COUNTIF(tb_otrosservicios[codTecnologiaSalud],F90)&gt;0,SUMIF(tb_otrosservicios[codTecnologiaSalud],F90,tb_otrosservicios[vrServicio]),)))),"")</f>
        <v/>
      </c>
      <c r="N90" s="33"/>
    </row>
    <row r="91" spans="6:14" x14ac:dyDescent="0.25">
      <c r="F91" s="30"/>
      <c r="G91" s="31"/>
      <c r="H91" s="38"/>
      <c r="I91" s="32"/>
      <c r="J91" s="32"/>
      <c r="K91" s="27"/>
      <c r="L91" s="11" t="str">
        <f>IF(F91&lt;&gt;"",IF(COUNTIF(tb_consultas[codConsulta],F91)&gt;0,COUNTIF(tb_consultas[codConsulta],F91),IF(COUNTIF(tb_procedimientos[codProcedimiento],F91),COUNTIF(tb_procedimientos[codProcedimiento],F91),IF(COUNTIF(tb_medicamentos[codTecnologiaSalud],F91)&gt;0,SUMIF(tb_medicamentos[codTecnologiaSalud],F91,tb_medicamentos[cantidadMedicamento]),IF(COUNTIF(tb_otrosservicios[codTecnologiaSalud],F91)&gt;0,SUMIF(tb_otrosservicios[codTecnologiaSalud],F91,tb_otrosservicios[cantidadOS]),)))),"")</f>
        <v/>
      </c>
      <c r="M91" s="26" t="str">
        <f>IF(F91&lt;&gt;"",IF(COUNTIF(tb_consultas[codConsulta],F91)&gt;0,SUMIF(tb_consultas[codConsulta],F91,tb_consultas[vrServicio]),IF(COUNTIF(tb_procedimientos[codProcedimiento],F91),SUMIF(tb_procedimientos[codProcedimiento],F91,tb_procedimientos[vrServicio]),IF(COUNTIF(tb_medicamentos[codTecnologiaSalud],F91)&gt;0,SUMIF(tb_medicamentos[codTecnologiaSalud],F91,tb_medicamentos[vrServicio]),IF(COUNTIF(tb_otrosservicios[codTecnologiaSalud],F91)&gt;0,SUMIF(tb_otrosservicios[codTecnologiaSalud],F91,tb_otrosservicios[vrServicio]),)))),"")</f>
        <v/>
      </c>
      <c r="N91" s="33"/>
    </row>
    <row r="92" spans="6:14" x14ac:dyDescent="0.25">
      <c r="F92" s="30"/>
      <c r="G92" s="31"/>
      <c r="H92" s="38"/>
      <c r="I92" s="32"/>
      <c r="J92" s="32"/>
      <c r="K92" s="27"/>
      <c r="L92" s="11" t="str">
        <f>IF(F92&lt;&gt;"",IF(COUNTIF(tb_consultas[codConsulta],F92)&gt;0,COUNTIF(tb_consultas[codConsulta],F92),IF(COUNTIF(tb_procedimientos[codProcedimiento],F92),COUNTIF(tb_procedimientos[codProcedimiento],F92),IF(COUNTIF(tb_medicamentos[codTecnologiaSalud],F92)&gt;0,SUMIF(tb_medicamentos[codTecnologiaSalud],F92,tb_medicamentos[cantidadMedicamento]),IF(COUNTIF(tb_otrosservicios[codTecnologiaSalud],F92)&gt;0,SUMIF(tb_otrosservicios[codTecnologiaSalud],F92,tb_otrosservicios[cantidadOS]),)))),"")</f>
        <v/>
      </c>
      <c r="M92" s="26" t="str">
        <f>IF(F92&lt;&gt;"",IF(COUNTIF(tb_consultas[codConsulta],F92)&gt;0,SUMIF(tb_consultas[codConsulta],F92,tb_consultas[vrServicio]),IF(COUNTIF(tb_procedimientos[codProcedimiento],F92),SUMIF(tb_procedimientos[codProcedimiento],F92,tb_procedimientos[vrServicio]),IF(COUNTIF(tb_medicamentos[codTecnologiaSalud],F92)&gt;0,SUMIF(tb_medicamentos[codTecnologiaSalud],F92,tb_medicamentos[vrServicio]),IF(COUNTIF(tb_otrosservicios[codTecnologiaSalud],F92)&gt;0,SUMIF(tb_otrosservicios[codTecnologiaSalud],F92,tb_otrosservicios[vrServicio]),)))),"")</f>
        <v/>
      </c>
      <c r="N92" s="33"/>
    </row>
    <row r="93" spans="6:14" x14ac:dyDescent="0.25">
      <c r="F93" s="30"/>
      <c r="G93" s="31"/>
      <c r="H93" s="38"/>
      <c r="I93" s="32"/>
      <c r="J93" s="32"/>
      <c r="K93" s="27"/>
      <c r="L93" s="11" t="str">
        <f>IF(F93&lt;&gt;"",IF(COUNTIF(tb_consultas[codConsulta],F93)&gt;0,COUNTIF(tb_consultas[codConsulta],F93),IF(COUNTIF(tb_procedimientos[codProcedimiento],F93),COUNTIF(tb_procedimientos[codProcedimiento],F93),IF(COUNTIF(tb_medicamentos[codTecnologiaSalud],F93)&gt;0,SUMIF(tb_medicamentos[codTecnologiaSalud],F93,tb_medicamentos[cantidadMedicamento]),IF(COUNTIF(tb_otrosservicios[codTecnologiaSalud],F93)&gt;0,SUMIF(tb_otrosservicios[codTecnologiaSalud],F93,tb_otrosservicios[cantidadOS]),)))),"")</f>
        <v/>
      </c>
      <c r="M93" s="26" t="str">
        <f>IF(F93&lt;&gt;"",IF(COUNTIF(tb_consultas[codConsulta],F93)&gt;0,SUMIF(tb_consultas[codConsulta],F93,tb_consultas[vrServicio]),IF(COUNTIF(tb_procedimientos[codProcedimiento],F93),SUMIF(tb_procedimientos[codProcedimiento],F93,tb_procedimientos[vrServicio]),IF(COUNTIF(tb_medicamentos[codTecnologiaSalud],F93)&gt;0,SUMIF(tb_medicamentos[codTecnologiaSalud],F93,tb_medicamentos[vrServicio]),IF(COUNTIF(tb_otrosservicios[codTecnologiaSalud],F93)&gt;0,SUMIF(tb_otrosservicios[codTecnologiaSalud],F93,tb_otrosservicios[vrServicio]),)))),"")</f>
        <v/>
      </c>
      <c r="N93" s="33"/>
    </row>
    <row r="94" spans="6:14" x14ac:dyDescent="0.25">
      <c r="F94" s="30"/>
      <c r="G94" s="31"/>
      <c r="H94" s="38"/>
      <c r="I94" s="32"/>
      <c r="J94" s="32"/>
      <c r="K94" s="27"/>
      <c r="L94" s="11" t="str">
        <f>IF(F94&lt;&gt;"",IF(COUNTIF(tb_consultas[codConsulta],F94)&gt;0,COUNTIF(tb_consultas[codConsulta],F94),IF(COUNTIF(tb_procedimientos[codProcedimiento],F94),COUNTIF(tb_procedimientos[codProcedimiento],F94),IF(COUNTIF(tb_medicamentos[codTecnologiaSalud],F94)&gt;0,SUMIF(tb_medicamentos[codTecnologiaSalud],F94,tb_medicamentos[cantidadMedicamento]),IF(COUNTIF(tb_otrosservicios[codTecnologiaSalud],F94)&gt;0,SUMIF(tb_otrosservicios[codTecnologiaSalud],F94,tb_otrosservicios[cantidadOS]),)))),"")</f>
        <v/>
      </c>
      <c r="M94" s="26" t="str">
        <f>IF(F94&lt;&gt;"",IF(COUNTIF(tb_consultas[codConsulta],F94)&gt;0,SUMIF(tb_consultas[codConsulta],F94,tb_consultas[vrServicio]),IF(COUNTIF(tb_procedimientos[codProcedimiento],F94),SUMIF(tb_procedimientos[codProcedimiento],F94,tb_procedimientos[vrServicio]),IF(COUNTIF(tb_medicamentos[codTecnologiaSalud],F94)&gt;0,SUMIF(tb_medicamentos[codTecnologiaSalud],F94,tb_medicamentos[vrServicio]),IF(COUNTIF(tb_otrosservicios[codTecnologiaSalud],F94)&gt;0,SUMIF(tb_otrosservicios[codTecnologiaSalud],F94,tb_otrosservicios[vrServicio]),)))),"")</f>
        <v/>
      </c>
      <c r="N94" s="33"/>
    </row>
    <row r="95" spans="6:14" x14ac:dyDescent="0.25">
      <c r="F95" s="30"/>
      <c r="G95" s="31"/>
      <c r="H95" s="38"/>
      <c r="I95" s="32"/>
      <c r="J95" s="32"/>
      <c r="K95" s="27"/>
      <c r="L95" s="11" t="str">
        <f>IF(F95&lt;&gt;"",IF(COUNTIF(tb_consultas[codConsulta],F95)&gt;0,COUNTIF(tb_consultas[codConsulta],F95),IF(COUNTIF(tb_procedimientos[codProcedimiento],F95),COUNTIF(tb_procedimientos[codProcedimiento],F95),IF(COUNTIF(tb_medicamentos[codTecnologiaSalud],F95)&gt;0,SUMIF(tb_medicamentos[codTecnologiaSalud],F95,tb_medicamentos[cantidadMedicamento]),IF(COUNTIF(tb_otrosservicios[codTecnologiaSalud],F95)&gt;0,SUMIF(tb_otrosservicios[codTecnologiaSalud],F95,tb_otrosservicios[cantidadOS]),)))),"")</f>
        <v/>
      </c>
      <c r="M95" s="26" t="str">
        <f>IF(F95&lt;&gt;"",IF(COUNTIF(tb_consultas[codConsulta],F95)&gt;0,SUMIF(tb_consultas[codConsulta],F95,tb_consultas[vrServicio]),IF(COUNTIF(tb_procedimientos[codProcedimiento],F95),SUMIF(tb_procedimientos[codProcedimiento],F95,tb_procedimientos[vrServicio]),IF(COUNTIF(tb_medicamentos[codTecnologiaSalud],F95)&gt;0,SUMIF(tb_medicamentos[codTecnologiaSalud],F95,tb_medicamentos[vrServicio]),IF(COUNTIF(tb_otrosservicios[codTecnologiaSalud],F95)&gt;0,SUMIF(tb_otrosservicios[codTecnologiaSalud],F95,tb_otrosservicios[vrServicio]),)))),"")</f>
        <v/>
      </c>
      <c r="N95" s="33"/>
    </row>
    <row r="96" spans="6:14" x14ac:dyDescent="0.25">
      <c r="F96" s="30"/>
      <c r="G96" s="31"/>
      <c r="H96" s="38"/>
      <c r="I96" s="32"/>
      <c r="J96" s="32"/>
      <c r="K96" s="27"/>
      <c r="L96" s="11" t="str">
        <f>IF(F96&lt;&gt;"",IF(COUNTIF(tb_consultas[codConsulta],F96)&gt;0,COUNTIF(tb_consultas[codConsulta],F96),IF(COUNTIF(tb_procedimientos[codProcedimiento],F96),COUNTIF(tb_procedimientos[codProcedimiento],F96),IF(COUNTIF(tb_medicamentos[codTecnologiaSalud],F96)&gt;0,SUMIF(tb_medicamentos[codTecnologiaSalud],F96,tb_medicamentos[cantidadMedicamento]),IF(COUNTIF(tb_otrosservicios[codTecnologiaSalud],F96)&gt;0,SUMIF(tb_otrosservicios[codTecnologiaSalud],F96,tb_otrosservicios[cantidadOS]),)))),"")</f>
        <v/>
      </c>
      <c r="M96" s="26" t="str">
        <f>IF(F96&lt;&gt;"",IF(COUNTIF(tb_consultas[codConsulta],F96)&gt;0,SUMIF(tb_consultas[codConsulta],F96,tb_consultas[vrServicio]),IF(COUNTIF(tb_procedimientos[codProcedimiento],F96),SUMIF(tb_procedimientos[codProcedimiento],F96,tb_procedimientos[vrServicio]),IF(COUNTIF(tb_medicamentos[codTecnologiaSalud],F96)&gt;0,SUMIF(tb_medicamentos[codTecnologiaSalud],F96,tb_medicamentos[vrServicio]),IF(COUNTIF(tb_otrosservicios[codTecnologiaSalud],F96)&gt;0,SUMIF(tb_otrosservicios[codTecnologiaSalud],F96,tb_otrosservicios[vrServicio]),)))),"")</f>
        <v/>
      </c>
      <c r="N96" s="33"/>
    </row>
    <row r="97" spans="6:14" x14ac:dyDescent="0.25">
      <c r="F97" s="30"/>
      <c r="G97" s="31"/>
      <c r="H97" s="38"/>
      <c r="I97" s="32"/>
      <c r="J97" s="32"/>
      <c r="K97" s="27"/>
      <c r="L97" s="11" t="str">
        <f>IF(F97&lt;&gt;"",IF(COUNTIF(tb_consultas[codConsulta],F97)&gt;0,COUNTIF(tb_consultas[codConsulta],F97),IF(COUNTIF(tb_procedimientos[codProcedimiento],F97),COUNTIF(tb_procedimientos[codProcedimiento],F97),IF(COUNTIF(tb_medicamentos[codTecnologiaSalud],F97)&gt;0,SUMIF(tb_medicamentos[codTecnologiaSalud],F97,tb_medicamentos[cantidadMedicamento]),IF(COUNTIF(tb_otrosservicios[codTecnologiaSalud],F97)&gt;0,SUMIF(tb_otrosservicios[codTecnologiaSalud],F97,tb_otrosservicios[cantidadOS]),)))),"")</f>
        <v/>
      </c>
      <c r="M97" s="26" t="str">
        <f>IF(F97&lt;&gt;"",IF(COUNTIF(tb_consultas[codConsulta],F97)&gt;0,SUMIF(tb_consultas[codConsulta],F97,tb_consultas[vrServicio]),IF(COUNTIF(tb_procedimientos[codProcedimiento],F97),SUMIF(tb_procedimientos[codProcedimiento],F97,tb_procedimientos[vrServicio]),IF(COUNTIF(tb_medicamentos[codTecnologiaSalud],F97)&gt;0,SUMIF(tb_medicamentos[codTecnologiaSalud],F97,tb_medicamentos[vrServicio]),IF(COUNTIF(tb_otrosservicios[codTecnologiaSalud],F97)&gt;0,SUMIF(tb_otrosservicios[codTecnologiaSalud],F97,tb_otrosservicios[vrServicio]),)))),"")</f>
        <v/>
      </c>
      <c r="N97" s="33"/>
    </row>
    <row r="98" spans="6:14" x14ac:dyDescent="0.25">
      <c r="F98" s="30"/>
      <c r="G98" s="31"/>
      <c r="H98" s="38"/>
      <c r="I98" s="32"/>
      <c r="J98" s="32"/>
      <c r="K98" s="27"/>
      <c r="L98" s="11" t="str">
        <f>IF(F98&lt;&gt;"",IF(COUNTIF(tb_consultas[codConsulta],F98)&gt;0,COUNTIF(tb_consultas[codConsulta],F98),IF(COUNTIF(tb_procedimientos[codProcedimiento],F98),COUNTIF(tb_procedimientos[codProcedimiento],F98),IF(COUNTIF(tb_medicamentos[codTecnologiaSalud],F98)&gt;0,SUMIF(tb_medicamentos[codTecnologiaSalud],F98,tb_medicamentos[cantidadMedicamento]),IF(COUNTIF(tb_otrosservicios[codTecnologiaSalud],F98)&gt;0,SUMIF(tb_otrosservicios[codTecnologiaSalud],F98,tb_otrosservicios[cantidadOS]),)))),"")</f>
        <v/>
      </c>
      <c r="M98" s="26" t="str">
        <f>IF(F98&lt;&gt;"",IF(COUNTIF(tb_consultas[codConsulta],F98)&gt;0,SUMIF(tb_consultas[codConsulta],F98,tb_consultas[vrServicio]),IF(COUNTIF(tb_procedimientos[codProcedimiento],F98),SUMIF(tb_procedimientos[codProcedimiento],F98,tb_procedimientos[vrServicio]),IF(COUNTIF(tb_medicamentos[codTecnologiaSalud],F98)&gt;0,SUMIF(tb_medicamentos[codTecnologiaSalud],F98,tb_medicamentos[vrServicio]),IF(COUNTIF(tb_otrosservicios[codTecnologiaSalud],F98)&gt;0,SUMIF(tb_otrosservicios[codTecnologiaSalud],F98,tb_otrosservicios[vrServicio]),)))),"")</f>
        <v/>
      </c>
      <c r="N98" s="33"/>
    </row>
    <row r="99" spans="6:14" x14ac:dyDescent="0.25">
      <c r="F99" s="30"/>
      <c r="G99" s="31"/>
      <c r="H99" s="38"/>
      <c r="I99" s="32"/>
      <c r="J99" s="32"/>
      <c r="K99" s="27"/>
      <c r="L99" s="11" t="str">
        <f>IF(F99&lt;&gt;"",IF(COUNTIF(tb_consultas[codConsulta],F99)&gt;0,COUNTIF(tb_consultas[codConsulta],F99),IF(COUNTIF(tb_procedimientos[codProcedimiento],F99),COUNTIF(tb_procedimientos[codProcedimiento],F99),IF(COUNTIF(tb_medicamentos[codTecnologiaSalud],F99)&gt;0,SUMIF(tb_medicamentos[codTecnologiaSalud],F99,tb_medicamentos[cantidadMedicamento]),IF(COUNTIF(tb_otrosservicios[codTecnologiaSalud],F99)&gt;0,SUMIF(tb_otrosservicios[codTecnologiaSalud],F99,tb_otrosservicios[cantidadOS]),)))),"")</f>
        <v/>
      </c>
      <c r="M99" s="26" t="str">
        <f>IF(F99&lt;&gt;"",IF(COUNTIF(tb_consultas[codConsulta],F99)&gt;0,SUMIF(tb_consultas[codConsulta],F99,tb_consultas[vrServicio]),IF(COUNTIF(tb_procedimientos[codProcedimiento],F99),SUMIF(tb_procedimientos[codProcedimiento],F99,tb_procedimientos[vrServicio]),IF(COUNTIF(tb_medicamentos[codTecnologiaSalud],F99)&gt;0,SUMIF(tb_medicamentos[codTecnologiaSalud],F99,tb_medicamentos[vrServicio]),IF(COUNTIF(tb_otrosservicios[codTecnologiaSalud],F99)&gt;0,SUMIF(tb_otrosservicios[codTecnologiaSalud],F99,tb_otrosservicios[vrServicio]),)))),"")</f>
        <v/>
      </c>
      <c r="N99" s="33"/>
    </row>
    <row r="100" spans="6:14" x14ac:dyDescent="0.25">
      <c r="F100" s="30"/>
      <c r="G100" s="31"/>
      <c r="H100" s="38"/>
      <c r="I100" s="32"/>
      <c r="J100" s="32"/>
      <c r="K100" s="27"/>
      <c r="L100" s="11" t="str">
        <f>IF(F100&lt;&gt;"",IF(COUNTIF(tb_consultas[codConsulta],F100)&gt;0,COUNTIF(tb_consultas[codConsulta],F100),IF(COUNTIF(tb_procedimientos[codProcedimiento],F100),COUNTIF(tb_procedimientos[codProcedimiento],F100),IF(COUNTIF(tb_medicamentos[codTecnologiaSalud],F100)&gt;0,SUMIF(tb_medicamentos[codTecnologiaSalud],F100,tb_medicamentos[cantidadMedicamento]),IF(COUNTIF(tb_otrosservicios[codTecnologiaSalud],F100)&gt;0,SUMIF(tb_otrosservicios[codTecnologiaSalud],F100,tb_otrosservicios[cantidadOS]),)))),"")</f>
        <v/>
      </c>
      <c r="M100" s="26" t="str">
        <f>IF(F100&lt;&gt;"",IF(COUNTIF(tb_consultas[codConsulta],F100)&gt;0,SUMIF(tb_consultas[codConsulta],F100,tb_consultas[vrServicio]),IF(COUNTIF(tb_procedimientos[codProcedimiento],F100),SUMIF(tb_procedimientos[codProcedimiento],F100,tb_procedimientos[vrServicio]),IF(COUNTIF(tb_medicamentos[codTecnologiaSalud],F100)&gt;0,SUMIF(tb_medicamentos[codTecnologiaSalud],F100,tb_medicamentos[vrServicio]),IF(COUNTIF(tb_otrosservicios[codTecnologiaSalud],F100)&gt;0,SUMIF(tb_otrosservicios[codTecnologiaSalud],F100,tb_otrosservicios[vrServicio]),)))),"")</f>
        <v/>
      </c>
      <c r="N100" s="33"/>
    </row>
    <row r="101" spans="6:14" x14ac:dyDescent="0.25">
      <c r="F101" s="30"/>
      <c r="G101" s="31"/>
      <c r="H101" s="38"/>
      <c r="I101" s="32"/>
      <c r="J101" s="32"/>
      <c r="K101" s="27"/>
      <c r="L101" s="11" t="str">
        <f>IF(F101&lt;&gt;"",IF(COUNTIF(tb_consultas[codConsulta],F101)&gt;0,COUNTIF(tb_consultas[codConsulta],F101),IF(COUNTIF(tb_procedimientos[codProcedimiento],F101),COUNTIF(tb_procedimientos[codProcedimiento],F101),IF(COUNTIF(tb_medicamentos[codTecnologiaSalud],F101)&gt;0,SUMIF(tb_medicamentos[codTecnologiaSalud],F101,tb_medicamentos[cantidadMedicamento]),IF(COUNTIF(tb_otrosservicios[codTecnologiaSalud],F101)&gt;0,SUMIF(tb_otrosservicios[codTecnologiaSalud],F101,tb_otrosservicios[cantidadOS]),)))),"")</f>
        <v/>
      </c>
      <c r="M101" s="26" t="str">
        <f>IF(F101&lt;&gt;"",IF(COUNTIF(tb_consultas[codConsulta],F101)&gt;0,SUMIF(tb_consultas[codConsulta],F101,tb_consultas[vrServicio]),IF(COUNTIF(tb_procedimientos[codProcedimiento],F101),SUMIF(tb_procedimientos[codProcedimiento],F101,tb_procedimientos[vrServicio]),IF(COUNTIF(tb_medicamentos[codTecnologiaSalud],F101)&gt;0,SUMIF(tb_medicamentos[codTecnologiaSalud],F101,tb_medicamentos[vrServicio]),IF(COUNTIF(tb_otrosservicios[codTecnologiaSalud],F101)&gt;0,SUMIF(tb_otrosservicios[codTecnologiaSalud],F101,tb_otrosservicios[vrServicio]),)))),"")</f>
        <v/>
      </c>
      <c r="N101" s="33"/>
    </row>
    <row r="102" spans="6:14" x14ac:dyDescent="0.25">
      <c r="F102" s="30"/>
      <c r="G102" s="31"/>
      <c r="H102" s="38"/>
      <c r="I102" s="32"/>
      <c r="J102" s="32"/>
      <c r="K102" s="27"/>
      <c r="L102" s="11" t="str">
        <f>IF(F102&lt;&gt;"",IF(COUNTIF(tb_consultas[codConsulta],F102)&gt;0,COUNTIF(tb_consultas[codConsulta],F102),IF(COUNTIF(tb_procedimientos[codProcedimiento],F102),COUNTIF(tb_procedimientos[codProcedimiento],F102),IF(COUNTIF(tb_medicamentos[codTecnologiaSalud],F102)&gt;0,SUMIF(tb_medicamentos[codTecnologiaSalud],F102,tb_medicamentos[cantidadMedicamento]),IF(COUNTIF(tb_otrosservicios[codTecnologiaSalud],F102)&gt;0,SUMIF(tb_otrosservicios[codTecnologiaSalud],F102,tb_otrosservicios[cantidadOS]),)))),"")</f>
        <v/>
      </c>
      <c r="M102" s="26" t="str">
        <f>IF(F102&lt;&gt;"",IF(COUNTIF(tb_consultas[codConsulta],F102)&gt;0,SUMIF(tb_consultas[codConsulta],F102,tb_consultas[vrServicio]),IF(COUNTIF(tb_procedimientos[codProcedimiento],F102),SUMIF(tb_procedimientos[codProcedimiento],F102,tb_procedimientos[vrServicio]),IF(COUNTIF(tb_medicamentos[codTecnologiaSalud],F102)&gt;0,SUMIF(tb_medicamentos[codTecnologiaSalud],F102,tb_medicamentos[vrServicio]),IF(COUNTIF(tb_otrosservicios[codTecnologiaSalud],F102)&gt;0,SUMIF(tb_otrosservicios[codTecnologiaSalud],F102,tb_otrosservicios[vrServicio]),)))),"")</f>
        <v/>
      </c>
      <c r="N102" s="33"/>
    </row>
    <row r="103" spans="6:14" x14ac:dyDescent="0.25">
      <c r="F103" s="30"/>
      <c r="G103" s="31"/>
      <c r="H103" s="38"/>
      <c r="I103" s="32"/>
      <c r="J103" s="32"/>
      <c r="K103" s="27"/>
      <c r="L103" s="11" t="str">
        <f>IF(F103&lt;&gt;"",IF(COUNTIF(tb_consultas[codConsulta],F103)&gt;0,COUNTIF(tb_consultas[codConsulta],F103),IF(COUNTIF(tb_procedimientos[codProcedimiento],F103),COUNTIF(tb_procedimientos[codProcedimiento],F103),IF(COUNTIF(tb_medicamentos[codTecnologiaSalud],F103)&gt;0,SUMIF(tb_medicamentos[codTecnologiaSalud],F103,tb_medicamentos[cantidadMedicamento]),IF(COUNTIF(tb_otrosservicios[codTecnologiaSalud],F103)&gt;0,SUMIF(tb_otrosservicios[codTecnologiaSalud],F103,tb_otrosservicios[cantidadOS]),)))),"")</f>
        <v/>
      </c>
      <c r="M103" s="26" t="str">
        <f>IF(F103&lt;&gt;"",IF(COUNTIF(tb_consultas[codConsulta],F103)&gt;0,SUMIF(tb_consultas[codConsulta],F103,tb_consultas[vrServicio]),IF(COUNTIF(tb_procedimientos[codProcedimiento],F103),SUMIF(tb_procedimientos[codProcedimiento],F103,tb_procedimientos[vrServicio]),IF(COUNTIF(tb_medicamentos[codTecnologiaSalud],F103)&gt;0,SUMIF(tb_medicamentos[codTecnologiaSalud],F103,tb_medicamentos[vrServicio]),IF(COUNTIF(tb_otrosservicios[codTecnologiaSalud],F103)&gt;0,SUMIF(tb_otrosservicios[codTecnologiaSalud],F103,tb_otrosservicios[vrServicio]),)))),"")</f>
        <v/>
      </c>
      <c r="N103" s="33"/>
    </row>
    <row r="104" spans="6:14" x14ac:dyDescent="0.25">
      <c r="F104" s="30"/>
      <c r="G104" s="31"/>
      <c r="H104" s="38"/>
      <c r="I104" s="32"/>
      <c r="J104" s="32"/>
      <c r="K104" s="27"/>
      <c r="L104" s="11" t="str">
        <f>IF(F104&lt;&gt;"",IF(COUNTIF(tb_consultas[codConsulta],F104)&gt;0,COUNTIF(tb_consultas[codConsulta],F104),IF(COUNTIF(tb_procedimientos[codProcedimiento],F104),COUNTIF(tb_procedimientos[codProcedimiento],F104),IF(COUNTIF(tb_medicamentos[codTecnologiaSalud],F104)&gt;0,SUMIF(tb_medicamentos[codTecnologiaSalud],F104,tb_medicamentos[cantidadMedicamento]),IF(COUNTIF(tb_otrosservicios[codTecnologiaSalud],F104)&gt;0,SUMIF(tb_otrosservicios[codTecnologiaSalud],F104,tb_otrosservicios[cantidadOS]),)))),"")</f>
        <v/>
      </c>
      <c r="M104" s="26" t="str">
        <f>IF(F104&lt;&gt;"",IF(COUNTIF(tb_consultas[codConsulta],F104)&gt;0,SUMIF(tb_consultas[codConsulta],F104,tb_consultas[vrServicio]),IF(COUNTIF(tb_procedimientos[codProcedimiento],F104),SUMIF(tb_procedimientos[codProcedimiento],F104,tb_procedimientos[vrServicio]),IF(COUNTIF(tb_medicamentos[codTecnologiaSalud],F104)&gt;0,SUMIF(tb_medicamentos[codTecnologiaSalud],F104,tb_medicamentos[vrServicio]),IF(COUNTIF(tb_otrosservicios[codTecnologiaSalud],F104)&gt;0,SUMIF(tb_otrosservicios[codTecnologiaSalud],F104,tb_otrosservicios[vrServicio]),)))),"")</f>
        <v/>
      </c>
      <c r="N104" s="33"/>
    </row>
    <row r="105" spans="6:14" x14ac:dyDescent="0.25">
      <c r="F105" s="30"/>
      <c r="G105" s="31"/>
      <c r="H105" s="38"/>
      <c r="I105" s="32"/>
      <c r="J105" s="32"/>
      <c r="K105" s="27"/>
      <c r="L105" s="11" t="str">
        <f>IF(F105&lt;&gt;"",IF(COUNTIF(tb_consultas[codConsulta],F105)&gt;0,COUNTIF(tb_consultas[codConsulta],F105),IF(COUNTIF(tb_procedimientos[codProcedimiento],F105),COUNTIF(tb_procedimientos[codProcedimiento],F105),IF(COUNTIF(tb_medicamentos[codTecnologiaSalud],F105)&gt;0,SUMIF(tb_medicamentos[codTecnologiaSalud],F105,tb_medicamentos[cantidadMedicamento]),IF(COUNTIF(tb_otrosservicios[codTecnologiaSalud],F105)&gt;0,SUMIF(tb_otrosservicios[codTecnologiaSalud],F105,tb_otrosservicios[cantidadOS]),)))),"")</f>
        <v/>
      </c>
      <c r="M105" s="26" t="str">
        <f>IF(F105&lt;&gt;"",IF(COUNTIF(tb_consultas[codConsulta],F105)&gt;0,SUMIF(tb_consultas[codConsulta],F105,tb_consultas[vrServicio]),IF(COUNTIF(tb_procedimientos[codProcedimiento],F105),SUMIF(tb_procedimientos[codProcedimiento],F105,tb_procedimientos[vrServicio]),IF(COUNTIF(tb_medicamentos[codTecnologiaSalud],F105)&gt;0,SUMIF(tb_medicamentos[codTecnologiaSalud],F105,tb_medicamentos[vrServicio]),IF(COUNTIF(tb_otrosservicios[codTecnologiaSalud],F105)&gt;0,SUMIF(tb_otrosservicios[codTecnologiaSalud],F105,tb_otrosservicios[vrServicio]),)))),"")</f>
        <v/>
      </c>
      <c r="N105" s="33"/>
    </row>
    <row r="106" spans="6:14" x14ac:dyDescent="0.25">
      <c r="F106" s="30"/>
      <c r="G106" s="31"/>
      <c r="H106" s="38"/>
      <c r="I106" s="32"/>
      <c r="J106" s="32"/>
      <c r="K106" s="27"/>
      <c r="L106" s="11" t="str">
        <f>IF(F106&lt;&gt;"",IF(COUNTIF(tb_consultas[codConsulta],F106)&gt;0,COUNTIF(tb_consultas[codConsulta],F106),IF(COUNTIF(tb_procedimientos[codProcedimiento],F106),COUNTIF(tb_procedimientos[codProcedimiento],F106),IF(COUNTIF(tb_medicamentos[codTecnologiaSalud],F106)&gt;0,SUMIF(tb_medicamentos[codTecnologiaSalud],F106,tb_medicamentos[cantidadMedicamento]),IF(COUNTIF(tb_otrosservicios[codTecnologiaSalud],F106)&gt;0,SUMIF(tb_otrosservicios[codTecnologiaSalud],F106,tb_otrosservicios[cantidadOS]),)))),"")</f>
        <v/>
      </c>
      <c r="M106" s="26" t="str">
        <f>IF(F106&lt;&gt;"",IF(COUNTIF(tb_consultas[codConsulta],F106)&gt;0,SUMIF(tb_consultas[codConsulta],F106,tb_consultas[vrServicio]),IF(COUNTIF(tb_procedimientos[codProcedimiento],F106),SUMIF(tb_procedimientos[codProcedimiento],F106,tb_procedimientos[vrServicio]),IF(COUNTIF(tb_medicamentos[codTecnologiaSalud],F106)&gt;0,SUMIF(tb_medicamentos[codTecnologiaSalud],F106,tb_medicamentos[vrServicio]),IF(COUNTIF(tb_otrosservicios[codTecnologiaSalud],F106)&gt;0,SUMIF(tb_otrosservicios[codTecnologiaSalud],F106,tb_otrosservicios[vrServicio]),)))),"")</f>
        <v/>
      </c>
      <c r="N106" s="33"/>
    </row>
    <row r="107" spans="6:14" x14ac:dyDescent="0.25">
      <c r="F107" s="30"/>
      <c r="G107" s="31"/>
      <c r="H107" s="38"/>
      <c r="I107" s="32"/>
      <c r="J107" s="32"/>
      <c r="K107" s="27"/>
      <c r="L107" s="11" t="str">
        <f>IF(F107&lt;&gt;"",IF(COUNTIF(tb_consultas[codConsulta],F107)&gt;0,COUNTIF(tb_consultas[codConsulta],F107),IF(COUNTIF(tb_procedimientos[codProcedimiento],F107),COUNTIF(tb_procedimientos[codProcedimiento],F107),IF(COUNTIF(tb_medicamentos[codTecnologiaSalud],F107)&gt;0,SUMIF(tb_medicamentos[codTecnologiaSalud],F107,tb_medicamentos[cantidadMedicamento]),IF(COUNTIF(tb_otrosservicios[codTecnologiaSalud],F107)&gt;0,SUMIF(tb_otrosservicios[codTecnologiaSalud],F107,tb_otrosservicios[cantidadOS]),)))),"")</f>
        <v/>
      </c>
      <c r="M107" s="26" t="str">
        <f>IF(F107&lt;&gt;"",IF(COUNTIF(tb_consultas[codConsulta],F107)&gt;0,SUMIF(tb_consultas[codConsulta],F107,tb_consultas[vrServicio]),IF(COUNTIF(tb_procedimientos[codProcedimiento],F107),SUMIF(tb_procedimientos[codProcedimiento],F107,tb_procedimientos[vrServicio]),IF(COUNTIF(tb_medicamentos[codTecnologiaSalud],F107)&gt;0,SUMIF(tb_medicamentos[codTecnologiaSalud],F107,tb_medicamentos[vrServicio]),IF(COUNTIF(tb_otrosservicios[codTecnologiaSalud],F107)&gt;0,SUMIF(tb_otrosservicios[codTecnologiaSalud],F107,tb_otrosservicios[vrServicio]),)))),"")</f>
        <v/>
      </c>
      <c r="N107" s="33"/>
    </row>
    <row r="108" spans="6:14" x14ac:dyDescent="0.25">
      <c r="F108" s="30"/>
      <c r="G108" s="31"/>
      <c r="H108" s="38"/>
      <c r="I108" s="32"/>
      <c r="J108" s="32"/>
      <c r="K108" s="27"/>
      <c r="L108" s="11" t="str">
        <f>IF(F108&lt;&gt;"",IF(COUNTIF(tb_consultas[codConsulta],F108)&gt;0,COUNTIF(tb_consultas[codConsulta],F108),IF(COUNTIF(tb_procedimientos[codProcedimiento],F108),COUNTIF(tb_procedimientos[codProcedimiento],F108),IF(COUNTIF(tb_medicamentos[codTecnologiaSalud],F108)&gt;0,SUMIF(tb_medicamentos[codTecnologiaSalud],F108,tb_medicamentos[cantidadMedicamento]),IF(COUNTIF(tb_otrosservicios[codTecnologiaSalud],F108)&gt;0,SUMIF(tb_otrosservicios[codTecnologiaSalud],F108,tb_otrosservicios[cantidadOS]),)))),"")</f>
        <v/>
      </c>
      <c r="M108" s="26" t="str">
        <f>IF(F108&lt;&gt;"",IF(COUNTIF(tb_consultas[codConsulta],F108)&gt;0,SUMIF(tb_consultas[codConsulta],F108,tb_consultas[vrServicio]),IF(COUNTIF(tb_procedimientos[codProcedimiento],F108),SUMIF(tb_procedimientos[codProcedimiento],F108,tb_procedimientos[vrServicio]),IF(COUNTIF(tb_medicamentos[codTecnologiaSalud],F108)&gt;0,SUMIF(tb_medicamentos[codTecnologiaSalud],F108,tb_medicamentos[vrServicio]),IF(COUNTIF(tb_otrosservicios[codTecnologiaSalud],F108)&gt;0,SUMIF(tb_otrosservicios[codTecnologiaSalud],F108,tb_otrosservicios[vrServicio]),)))),"")</f>
        <v/>
      </c>
      <c r="N108" s="33"/>
    </row>
    <row r="109" spans="6:14" x14ac:dyDescent="0.25">
      <c r="F109" s="30"/>
      <c r="G109" s="31"/>
      <c r="H109" s="38"/>
      <c r="I109" s="32"/>
      <c r="J109" s="32"/>
      <c r="K109" s="27"/>
      <c r="L109" s="11" t="str">
        <f>IF(F109&lt;&gt;"",IF(COUNTIF(tb_consultas[codConsulta],F109)&gt;0,COUNTIF(tb_consultas[codConsulta],F109),IF(COUNTIF(tb_procedimientos[codProcedimiento],F109),COUNTIF(tb_procedimientos[codProcedimiento],F109),IF(COUNTIF(tb_medicamentos[codTecnologiaSalud],F109)&gt;0,SUMIF(tb_medicamentos[codTecnologiaSalud],F109,tb_medicamentos[cantidadMedicamento]),IF(COUNTIF(tb_otrosservicios[codTecnologiaSalud],F109)&gt;0,SUMIF(tb_otrosservicios[codTecnologiaSalud],F109,tb_otrosservicios[cantidadOS]),)))),"")</f>
        <v/>
      </c>
      <c r="M109" s="26" t="str">
        <f>IF(F109&lt;&gt;"",IF(COUNTIF(tb_consultas[codConsulta],F109)&gt;0,SUMIF(tb_consultas[codConsulta],F109,tb_consultas[vrServicio]),IF(COUNTIF(tb_procedimientos[codProcedimiento],F109),SUMIF(tb_procedimientos[codProcedimiento],F109,tb_procedimientos[vrServicio]),IF(COUNTIF(tb_medicamentos[codTecnologiaSalud],F109)&gt;0,SUMIF(tb_medicamentos[codTecnologiaSalud],F109,tb_medicamentos[vrServicio]),IF(COUNTIF(tb_otrosservicios[codTecnologiaSalud],F109)&gt;0,SUMIF(tb_otrosservicios[codTecnologiaSalud],F109,tb_otrosservicios[vrServicio]),)))),"")</f>
        <v/>
      </c>
      <c r="N109" s="33"/>
    </row>
    <row r="110" spans="6:14" x14ac:dyDescent="0.25">
      <c r="F110" s="30"/>
      <c r="G110" s="31"/>
      <c r="H110" s="38"/>
      <c r="I110" s="32"/>
      <c r="J110" s="32"/>
      <c r="K110" s="27"/>
      <c r="L110" s="11" t="str">
        <f>IF(F110&lt;&gt;"",IF(COUNTIF(tb_consultas[codConsulta],F110)&gt;0,COUNTIF(tb_consultas[codConsulta],F110),IF(COUNTIF(tb_procedimientos[codProcedimiento],F110),COUNTIF(tb_procedimientos[codProcedimiento],F110),IF(COUNTIF(tb_medicamentos[codTecnologiaSalud],F110)&gt;0,SUMIF(tb_medicamentos[codTecnologiaSalud],F110,tb_medicamentos[cantidadMedicamento]),IF(COUNTIF(tb_otrosservicios[codTecnologiaSalud],F110)&gt;0,SUMIF(tb_otrosservicios[codTecnologiaSalud],F110,tb_otrosservicios[cantidadOS]),)))),"")</f>
        <v/>
      </c>
      <c r="M110" s="26" t="str">
        <f>IF(F110&lt;&gt;"",IF(COUNTIF(tb_consultas[codConsulta],F110)&gt;0,SUMIF(tb_consultas[codConsulta],F110,tb_consultas[vrServicio]),IF(COUNTIF(tb_procedimientos[codProcedimiento],F110),SUMIF(tb_procedimientos[codProcedimiento],F110,tb_procedimientos[vrServicio]),IF(COUNTIF(tb_medicamentos[codTecnologiaSalud],F110)&gt;0,SUMIF(tb_medicamentos[codTecnologiaSalud],F110,tb_medicamentos[vrServicio]),IF(COUNTIF(tb_otrosservicios[codTecnologiaSalud],F110)&gt;0,SUMIF(tb_otrosservicios[codTecnologiaSalud],F110,tb_otrosservicios[vrServicio]),)))),"")</f>
        <v/>
      </c>
      <c r="N110" s="33"/>
    </row>
    <row r="111" spans="6:14" x14ac:dyDescent="0.25">
      <c r="F111" s="30"/>
      <c r="G111" s="31"/>
      <c r="H111" s="38"/>
      <c r="I111" s="32"/>
      <c r="J111" s="32"/>
      <c r="K111" s="27"/>
      <c r="L111" s="11" t="str">
        <f>IF(F111&lt;&gt;"",IF(COUNTIF(tb_consultas[codConsulta],F111)&gt;0,COUNTIF(tb_consultas[codConsulta],F111),IF(COUNTIF(tb_procedimientos[codProcedimiento],F111),COUNTIF(tb_procedimientos[codProcedimiento],F111),IF(COUNTIF(tb_medicamentos[codTecnologiaSalud],F111)&gt;0,SUMIF(tb_medicamentos[codTecnologiaSalud],F111,tb_medicamentos[cantidadMedicamento]),IF(COUNTIF(tb_otrosservicios[codTecnologiaSalud],F111)&gt;0,SUMIF(tb_otrosservicios[codTecnologiaSalud],F111,tb_otrosservicios[cantidadOS]),)))),"")</f>
        <v/>
      </c>
      <c r="M111" s="26" t="str">
        <f>IF(F111&lt;&gt;"",IF(COUNTIF(tb_consultas[codConsulta],F111)&gt;0,SUMIF(tb_consultas[codConsulta],F111,tb_consultas[vrServicio]),IF(COUNTIF(tb_procedimientos[codProcedimiento],F111),SUMIF(tb_procedimientos[codProcedimiento],F111,tb_procedimientos[vrServicio]),IF(COUNTIF(tb_medicamentos[codTecnologiaSalud],F111)&gt;0,SUMIF(tb_medicamentos[codTecnologiaSalud],F111,tb_medicamentos[vrServicio]),IF(COUNTIF(tb_otrosservicios[codTecnologiaSalud],F111)&gt;0,SUMIF(tb_otrosservicios[codTecnologiaSalud],F111,tb_otrosservicios[vrServicio]),)))),"")</f>
        <v/>
      </c>
      <c r="N111" s="33"/>
    </row>
    <row r="112" spans="6:14" x14ac:dyDescent="0.25">
      <c r="F112" s="30"/>
      <c r="G112" s="31"/>
      <c r="H112" s="38"/>
      <c r="I112" s="32"/>
      <c r="J112" s="32"/>
      <c r="K112" s="27"/>
      <c r="L112" s="11" t="str">
        <f>IF(F112&lt;&gt;"",IF(COUNTIF(tb_consultas[codConsulta],F112)&gt;0,COUNTIF(tb_consultas[codConsulta],F112),IF(COUNTIF(tb_procedimientos[codProcedimiento],F112),COUNTIF(tb_procedimientos[codProcedimiento],F112),IF(COUNTIF(tb_medicamentos[codTecnologiaSalud],F112)&gt;0,SUMIF(tb_medicamentos[codTecnologiaSalud],F112,tb_medicamentos[cantidadMedicamento]),IF(COUNTIF(tb_otrosservicios[codTecnologiaSalud],F112)&gt;0,SUMIF(tb_otrosservicios[codTecnologiaSalud],F112,tb_otrosservicios[cantidadOS]),)))),"")</f>
        <v/>
      </c>
      <c r="M112" s="26" t="str">
        <f>IF(F112&lt;&gt;"",IF(COUNTIF(tb_consultas[codConsulta],F112)&gt;0,SUMIF(tb_consultas[codConsulta],F112,tb_consultas[vrServicio]),IF(COUNTIF(tb_procedimientos[codProcedimiento],F112),SUMIF(tb_procedimientos[codProcedimiento],F112,tb_procedimientos[vrServicio]),IF(COUNTIF(tb_medicamentos[codTecnologiaSalud],F112)&gt;0,SUMIF(tb_medicamentos[codTecnologiaSalud],F112,tb_medicamentos[vrServicio]),IF(COUNTIF(tb_otrosservicios[codTecnologiaSalud],F112)&gt;0,SUMIF(tb_otrosservicios[codTecnologiaSalud],F112,tb_otrosservicios[vrServicio]),)))),"")</f>
        <v/>
      </c>
      <c r="N112" s="33"/>
    </row>
    <row r="113" spans="6:14" x14ac:dyDescent="0.25">
      <c r="F113" s="30"/>
      <c r="G113" s="31"/>
      <c r="H113" s="38"/>
      <c r="I113" s="32"/>
      <c r="J113" s="32"/>
      <c r="K113" s="27"/>
      <c r="L113" s="11" t="str">
        <f>IF(F113&lt;&gt;"",IF(COUNTIF(tb_consultas[codConsulta],F113)&gt;0,COUNTIF(tb_consultas[codConsulta],F113),IF(COUNTIF(tb_procedimientos[codProcedimiento],F113),COUNTIF(tb_procedimientos[codProcedimiento],F113),IF(COUNTIF(tb_medicamentos[codTecnologiaSalud],F113)&gt;0,SUMIF(tb_medicamentos[codTecnologiaSalud],F113,tb_medicamentos[cantidadMedicamento]),IF(COUNTIF(tb_otrosservicios[codTecnologiaSalud],F113)&gt;0,SUMIF(tb_otrosservicios[codTecnologiaSalud],F113,tb_otrosservicios[cantidadOS]),)))),"")</f>
        <v/>
      </c>
      <c r="M113" s="26" t="str">
        <f>IF(F113&lt;&gt;"",IF(COUNTIF(tb_consultas[codConsulta],F113)&gt;0,SUMIF(tb_consultas[codConsulta],F113,tb_consultas[vrServicio]),IF(COUNTIF(tb_procedimientos[codProcedimiento],F113),SUMIF(tb_procedimientos[codProcedimiento],F113,tb_procedimientos[vrServicio]),IF(COUNTIF(tb_medicamentos[codTecnologiaSalud],F113)&gt;0,SUMIF(tb_medicamentos[codTecnologiaSalud],F113,tb_medicamentos[vrServicio]),IF(COUNTIF(tb_otrosservicios[codTecnologiaSalud],F113)&gt;0,SUMIF(tb_otrosservicios[codTecnologiaSalud],F113,tb_otrosservicios[vrServicio]),)))),"")</f>
        <v/>
      </c>
      <c r="N113" s="33"/>
    </row>
    <row r="114" spans="6:14" x14ac:dyDescent="0.25">
      <c r="F114" s="30"/>
      <c r="G114" s="31"/>
      <c r="H114" s="38"/>
      <c r="I114" s="32"/>
      <c r="J114" s="32"/>
      <c r="K114" s="27"/>
      <c r="L114" s="11" t="str">
        <f>IF(F114&lt;&gt;"",IF(COUNTIF(tb_consultas[codConsulta],F114)&gt;0,COUNTIF(tb_consultas[codConsulta],F114),IF(COUNTIF(tb_procedimientos[codProcedimiento],F114),COUNTIF(tb_procedimientos[codProcedimiento],F114),IF(COUNTIF(tb_medicamentos[codTecnologiaSalud],F114)&gt;0,SUMIF(tb_medicamentos[codTecnologiaSalud],F114,tb_medicamentos[cantidadMedicamento]),IF(COUNTIF(tb_otrosservicios[codTecnologiaSalud],F114)&gt;0,SUMIF(tb_otrosservicios[codTecnologiaSalud],F114,tb_otrosservicios[cantidadOS]),)))),"")</f>
        <v/>
      </c>
      <c r="M114" s="26" t="str">
        <f>IF(F114&lt;&gt;"",IF(COUNTIF(tb_consultas[codConsulta],F114)&gt;0,SUMIF(tb_consultas[codConsulta],F114,tb_consultas[vrServicio]),IF(COUNTIF(tb_procedimientos[codProcedimiento],F114),SUMIF(tb_procedimientos[codProcedimiento],F114,tb_procedimientos[vrServicio]),IF(COUNTIF(tb_medicamentos[codTecnologiaSalud],F114)&gt;0,SUMIF(tb_medicamentos[codTecnologiaSalud],F114,tb_medicamentos[vrServicio]),IF(COUNTIF(tb_otrosservicios[codTecnologiaSalud],F114)&gt;0,SUMIF(tb_otrosservicios[codTecnologiaSalud],F114,tb_otrosservicios[vrServicio]),)))),"")</f>
        <v/>
      </c>
      <c r="N114" s="33"/>
    </row>
    <row r="115" spans="6:14" x14ac:dyDescent="0.25">
      <c r="F115" s="30"/>
      <c r="G115" s="31"/>
      <c r="H115" s="38"/>
      <c r="I115" s="32"/>
      <c r="J115" s="32"/>
      <c r="K115" s="27"/>
      <c r="L115" s="11" t="str">
        <f>IF(F115&lt;&gt;"",IF(COUNTIF(tb_consultas[codConsulta],F115)&gt;0,COUNTIF(tb_consultas[codConsulta],F115),IF(COUNTIF(tb_procedimientos[codProcedimiento],F115),COUNTIF(tb_procedimientos[codProcedimiento],F115),IF(COUNTIF(tb_medicamentos[codTecnologiaSalud],F115)&gt;0,SUMIF(tb_medicamentos[codTecnologiaSalud],F115,tb_medicamentos[cantidadMedicamento]),IF(COUNTIF(tb_otrosservicios[codTecnologiaSalud],F115)&gt;0,SUMIF(tb_otrosservicios[codTecnologiaSalud],F115,tb_otrosservicios[cantidadOS]),)))),"")</f>
        <v/>
      </c>
      <c r="M115" s="26" t="str">
        <f>IF(F115&lt;&gt;"",IF(COUNTIF(tb_consultas[codConsulta],F115)&gt;0,SUMIF(tb_consultas[codConsulta],F115,tb_consultas[vrServicio]),IF(COUNTIF(tb_procedimientos[codProcedimiento],F115),SUMIF(tb_procedimientos[codProcedimiento],F115,tb_procedimientos[vrServicio]),IF(COUNTIF(tb_medicamentos[codTecnologiaSalud],F115)&gt;0,SUMIF(tb_medicamentos[codTecnologiaSalud],F115,tb_medicamentos[vrServicio]),IF(COUNTIF(tb_otrosservicios[codTecnologiaSalud],F115)&gt;0,SUMIF(tb_otrosservicios[codTecnologiaSalud],F115,tb_otrosservicios[vrServicio]),)))),"")</f>
        <v/>
      </c>
      <c r="N115" s="33"/>
    </row>
    <row r="116" spans="6:14" x14ac:dyDescent="0.25">
      <c r="F116" s="30"/>
      <c r="G116" s="31"/>
      <c r="H116" s="38"/>
      <c r="I116" s="32"/>
      <c r="J116" s="32"/>
      <c r="K116" s="27"/>
      <c r="L116" s="11" t="str">
        <f>IF(F116&lt;&gt;"",IF(COUNTIF(tb_consultas[codConsulta],F116)&gt;0,COUNTIF(tb_consultas[codConsulta],F116),IF(COUNTIF(tb_procedimientos[codProcedimiento],F116),COUNTIF(tb_procedimientos[codProcedimiento],F116),IF(COUNTIF(tb_medicamentos[codTecnologiaSalud],F116)&gt;0,SUMIF(tb_medicamentos[codTecnologiaSalud],F116,tb_medicamentos[cantidadMedicamento]),IF(COUNTIF(tb_otrosservicios[codTecnologiaSalud],F116)&gt;0,SUMIF(tb_otrosservicios[codTecnologiaSalud],F116,tb_otrosservicios[cantidadOS]),)))),"")</f>
        <v/>
      </c>
      <c r="M116" s="26" t="str">
        <f>IF(F116&lt;&gt;"",IF(COUNTIF(tb_consultas[codConsulta],F116)&gt;0,SUMIF(tb_consultas[codConsulta],F116,tb_consultas[vrServicio]),IF(COUNTIF(tb_procedimientos[codProcedimiento],F116),SUMIF(tb_procedimientos[codProcedimiento],F116,tb_procedimientos[vrServicio]),IF(COUNTIF(tb_medicamentos[codTecnologiaSalud],F116)&gt;0,SUMIF(tb_medicamentos[codTecnologiaSalud],F116,tb_medicamentos[vrServicio]),IF(COUNTIF(tb_otrosservicios[codTecnologiaSalud],F116)&gt;0,SUMIF(tb_otrosservicios[codTecnologiaSalud],F116,tb_otrosservicios[vrServicio]),)))),"")</f>
        <v/>
      </c>
      <c r="N116" s="33"/>
    </row>
    <row r="117" spans="6:14" x14ac:dyDescent="0.25">
      <c r="F117" s="30"/>
      <c r="G117" s="31"/>
      <c r="H117" s="38"/>
      <c r="I117" s="32"/>
      <c r="J117" s="32"/>
      <c r="K117" s="27"/>
      <c r="L117" s="11" t="str">
        <f>IF(F117&lt;&gt;"",IF(COUNTIF(tb_consultas[codConsulta],F117)&gt;0,COUNTIF(tb_consultas[codConsulta],F117),IF(COUNTIF(tb_procedimientos[codProcedimiento],F117),COUNTIF(tb_procedimientos[codProcedimiento],F117),IF(COUNTIF(tb_medicamentos[codTecnologiaSalud],F117)&gt;0,SUMIF(tb_medicamentos[codTecnologiaSalud],F117,tb_medicamentos[cantidadMedicamento]),IF(COUNTIF(tb_otrosservicios[codTecnologiaSalud],F117)&gt;0,SUMIF(tb_otrosservicios[codTecnologiaSalud],F117,tb_otrosservicios[cantidadOS]),)))),"")</f>
        <v/>
      </c>
      <c r="M117" s="26" t="str">
        <f>IF(F117&lt;&gt;"",IF(COUNTIF(tb_consultas[codConsulta],F117)&gt;0,SUMIF(tb_consultas[codConsulta],F117,tb_consultas[vrServicio]),IF(COUNTIF(tb_procedimientos[codProcedimiento],F117),SUMIF(tb_procedimientos[codProcedimiento],F117,tb_procedimientos[vrServicio]),IF(COUNTIF(tb_medicamentos[codTecnologiaSalud],F117)&gt;0,SUMIF(tb_medicamentos[codTecnologiaSalud],F117,tb_medicamentos[vrServicio]),IF(COUNTIF(tb_otrosservicios[codTecnologiaSalud],F117)&gt;0,SUMIF(tb_otrosservicios[codTecnologiaSalud],F117,tb_otrosservicios[vrServicio]),)))),"")</f>
        <v/>
      </c>
      <c r="N117" s="33"/>
    </row>
    <row r="118" spans="6:14" x14ac:dyDescent="0.25">
      <c r="F118" s="30"/>
      <c r="G118" s="31"/>
      <c r="H118" s="38"/>
      <c r="I118" s="32"/>
      <c r="J118" s="32"/>
      <c r="K118" s="27"/>
      <c r="L118" s="11" t="str">
        <f>IF(F118&lt;&gt;"",IF(COUNTIF(tb_consultas[codConsulta],F118)&gt;0,COUNTIF(tb_consultas[codConsulta],F118),IF(COUNTIF(tb_procedimientos[codProcedimiento],F118),COUNTIF(tb_procedimientos[codProcedimiento],F118),IF(COUNTIF(tb_medicamentos[codTecnologiaSalud],F118)&gt;0,SUMIF(tb_medicamentos[codTecnologiaSalud],F118,tb_medicamentos[cantidadMedicamento]),IF(COUNTIF(tb_otrosservicios[codTecnologiaSalud],F118)&gt;0,SUMIF(tb_otrosservicios[codTecnologiaSalud],F118,tb_otrosservicios[cantidadOS]),)))),"")</f>
        <v/>
      </c>
      <c r="M118" s="26" t="str">
        <f>IF(F118&lt;&gt;"",IF(COUNTIF(tb_consultas[codConsulta],F118)&gt;0,SUMIF(tb_consultas[codConsulta],F118,tb_consultas[vrServicio]),IF(COUNTIF(tb_procedimientos[codProcedimiento],F118),SUMIF(tb_procedimientos[codProcedimiento],F118,tb_procedimientos[vrServicio]),IF(COUNTIF(tb_medicamentos[codTecnologiaSalud],F118)&gt;0,SUMIF(tb_medicamentos[codTecnologiaSalud],F118,tb_medicamentos[vrServicio]),IF(COUNTIF(tb_otrosservicios[codTecnologiaSalud],F118)&gt;0,SUMIF(tb_otrosservicios[codTecnologiaSalud],F118,tb_otrosservicios[vrServicio]),)))),"")</f>
        <v/>
      </c>
      <c r="N118" s="33"/>
    </row>
    <row r="119" spans="6:14" x14ac:dyDescent="0.25">
      <c r="F119" s="30"/>
      <c r="G119" s="31"/>
      <c r="H119" s="38"/>
      <c r="I119" s="32"/>
      <c r="J119" s="32"/>
      <c r="K119" s="27"/>
      <c r="L119" s="11" t="str">
        <f>IF(F119&lt;&gt;"",IF(COUNTIF(tb_consultas[codConsulta],F119)&gt;0,COUNTIF(tb_consultas[codConsulta],F119),IF(COUNTIF(tb_procedimientos[codProcedimiento],F119),COUNTIF(tb_procedimientos[codProcedimiento],F119),IF(COUNTIF(tb_medicamentos[codTecnologiaSalud],F119)&gt;0,SUMIF(tb_medicamentos[codTecnologiaSalud],F119,tb_medicamentos[cantidadMedicamento]),IF(COUNTIF(tb_otrosservicios[codTecnologiaSalud],F119)&gt;0,SUMIF(tb_otrosservicios[codTecnologiaSalud],F119,tb_otrosservicios[cantidadOS]),)))),"")</f>
        <v/>
      </c>
      <c r="M119" s="26" t="str">
        <f>IF(F119&lt;&gt;"",IF(COUNTIF(tb_consultas[codConsulta],F119)&gt;0,SUMIF(tb_consultas[codConsulta],F119,tb_consultas[vrServicio]),IF(COUNTIF(tb_procedimientos[codProcedimiento],F119),SUMIF(tb_procedimientos[codProcedimiento],F119,tb_procedimientos[vrServicio]),IF(COUNTIF(tb_medicamentos[codTecnologiaSalud],F119)&gt;0,SUMIF(tb_medicamentos[codTecnologiaSalud],F119,tb_medicamentos[vrServicio]),IF(COUNTIF(tb_otrosservicios[codTecnologiaSalud],F119)&gt;0,SUMIF(tb_otrosservicios[codTecnologiaSalud],F119,tb_otrosservicios[vrServicio]),)))),"")</f>
        <v/>
      </c>
      <c r="N119" s="33"/>
    </row>
    <row r="120" spans="6:14" x14ac:dyDescent="0.25">
      <c r="F120" s="30"/>
      <c r="G120" s="31"/>
      <c r="H120" s="38"/>
      <c r="I120" s="32"/>
      <c r="J120" s="32"/>
      <c r="K120" s="27"/>
      <c r="L120" s="11" t="str">
        <f>IF(F120&lt;&gt;"",IF(COUNTIF(tb_consultas[codConsulta],F120)&gt;0,COUNTIF(tb_consultas[codConsulta],F120),IF(COUNTIF(tb_procedimientos[codProcedimiento],F120),COUNTIF(tb_procedimientos[codProcedimiento],F120),IF(COUNTIF(tb_medicamentos[codTecnologiaSalud],F120)&gt;0,SUMIF(tb_medicamentos[codTecnologiaSalud],F120,tb_medicamentos[cantidadMedicamento]),IF(COUNTIF(tb_otrosservicios[codTecnologiaSalud],F120)&gt;0,SUMIF(tb_otrosservicios[codTecnologiaSalud],F120,tb_otrosservicios[cantidadOS]),)))),"")</f>
        <v/>
      </c>
      <c r="M120" s="26" t="str">
        <f>IF(F120&lt;&gt;"",IF(COUNTIF(tb_consultas[codConsulta],F120)&gt;0,SUMIF(tb_consultas[codConsulta],F120,tb_consultas[vrServicio]),IF(COUNTIF(tb_procedimientos[codProcedimiento],F120),SUMIF(tb_procedimientos[codProcedimiento],F120,tb_procedimientos[vrServicio]),IF(COUNTIF(tb_medicamentos[codTecnologiaSalud],F120)&gt;0,SUMIF(tb_medicamentos[codTecnologiaSalud],F120,tb_medicamentos[vrServicio]),IF(COUNTIF(tb_otrosservicios[codTecnologiaSalud],F120)&gt;0,SUMIF(tb_otrosservicios[codTecnologiaSalud],F120,tb_otrosservicios[vrServicio]),)))),"")</f>
        <v/>
      </c>
      <c r="N120" s="33"/>
    </row>
    <row r="121" spans="6:14" x14ac:dyDescent="0.25">
      <c r="F121" s="30"/>
      <c r="G121" s="31"/>
      <c r="H121" s="38"/>
      <c r="I121" s="32"/>
      <c r="J121" s="32"/>
      <c r="K121" s="27"/>
      <c r="L121" s="11" t="str">
        <f>IF(F121&lt;&gt;"",IF(COUNTIF(tb_consultas[codConsulta],F121)&gt;0,COUNTIF(tb_consultas[codConsulta],F121),IF(COUNTIF(tb_procedimientos[codProcedimiento],F121),COUNTIF(tb_procedimientos[codProcedimiento],F121),IF(COUNTIF(tb_medicamentos[codTecnologiaSalud],F121)&gt;0,SUMIF(tb_medicamentos[codTecnologiaSalud],F121,tb_medicamentos[cantidadMedicamento]),IF(COUNTIF(tb_otrosservicios[codTecnologiaSalud],F121)&gt;0,SUMIF(tb_otrosservicios[codTecnologiaSalud],F121,tb_otrosservicios[cantidadOS]),)))),"")</f>
        <v/>
      </c>
      <c r="M121" s="26" t="str">
        <f>IF(F121&lt;&gt;"",IF(COUNTIF(tb_consultas[codConsulta],F121)&gt;0,SUMIF(tb_consultas[codConsulta],F121,tb_consultas[vrServicio]),IF(COUNTIF(tb_procedimientos[codProcedimiento],F121),SUMIF(tb_procedimientos[codProcedimiento],F121,tb_procedimientos[vrServicio]),IF(COUNTIF(tb_medicamentos[codTecnologiaSalud],F121)&gt;0,SUMIF(tb_medicamentos[codTecnologiaSalud],F121,tb_medicamentos[vrServicio]),IF(COUNTIF(tb_otrosservicios[codTecnologiaSalud],F121)&gt;0,SUMIF(tb_otrosservicios[codTecnologiaSalud],F121,tb_otrosservicios[vrServicio]),)))),"")</f>
        <v/>
      </c>
      <c r="N121" s="33"/>
    </row>
    <row r="122" spans="6:14" x14ac:dyDescent="0.25">
      <c r="F122" s="30"/>
      <c r="G122" s="31"/>
      <c r="H122" s="38"/>
      <c r="I122" s="32"/>
      <c r="J122" s="32"/>
      <c r="K122" s="27"/>
      <c r="L122" s="11" t="str">
        <f>IF(F122&lt;&gt;"",IF(COUNTIF(tb_consultas[codConsulta],F122)&gt;0,COUNTIF(tb_consultas[codConsulta],F122),IF(COUNTIF(tb_procedimientos[codProcedimiento],F122),COUNTIF(tb_procedimientos[codProcedimiento],F122),IF(COUNTIF(tb_medicamentos[codTecnologiaSalud],F122)&gt;0,SUMIF(tb_medicamentos[codTecnologiaSalud],F122,tb_medicamentos[cantidadMedicamento]),IF(COUNTIF(tb_otrosservicios[codTecnologiaSalud],F122)&gt;0,SUMIF(tb_otrosservicios[codTecnologiaSalud],F122,tb_otrosservicios[cantidadOS]),)))),"")</f>
        <v/>
      </c>
      <c r="M122" s="26" t="str">
        <f>IF(F122&lt;&gt;"",IF(COUNTIF(tb_consultas[codConsulta],F122)&gt;0,SUMIF(tb_consultas[codConsulta],F122,tb_consultas[vrServicio]),IF(COUNTIF(tb_procedimientos[codProcedimiento],F122),SUMIF(tb_procedimientos[codProcedimiento],F122,tb_procedimientos[vrServicio]),IF(COUNTIF(tb_medicamentos[codTecnologiaSalud],F122)&gt;0,SUMIF(tb_medicamentos[codTecnologiaSalud],F122,tb_medicamentos[vrServicio]),IF(COUNTIF(tb_otrosservicios[codTecnologiaSalud],F122)&gt;0,SUMIF(tb_otrosservicios[codTecnologiaSalud],F122,tb_otrosservicios[vrServicio]),)))),"")</f>
        <v/>
      </c>
      <c r="N122" s="33"/>
    </row>
    <row r="123" spans="6:14" x14ac:dyDescent="0.25">
      <c r="F123" s="30"/>
      <c r="G123" s="31"/>
      <c r="H123" s="38"/>
      <c r="I123" s="32"/>
      <c r="J123" s="32"/>
      <c r="K123" s="27"/>
      <c r="L123" s="11" t="str">
        <f>IF(F123&lt;&gt;"",IF(COUNTIF(tb_consultas[codConsulta],F123)&gt;0,COUNTIF(tb_consultas[codConsulta],F123),IF(COUNTIF(tb_procedimientos[codProcedimiento],F123),COUNTIF(tb_procedimientos[codProcedimiento],F123),IF(COUNTIF(tb_medicamentos[codTecnologiaSalud],F123)&gt;0,SUMIF(tb_medicamentos[codTecnologiaSalud],F123,tb_medicamentos[cantidadMedicamento]),IF(COUNTIF(tb_otrosservicios[codTecnologiaSalud],F123)&gt;0,SUMIF(tb_otrosservicios[codTecnologiaSalud],F123,tb_otrosservicios[cantidadOS]),)))),"")</f>
        <v/>
      </c>
      <c r="M123" s="26" t="str">
        <f>IF(F123&lt;&gt;"",IF(COUNTIF(tb_consultas[codConsulta],F123)&gt;0,SUMIF(tb_consultas[codConsulta],F123,tb_consultas[vrServicio]),IF(COUNTIF(tb_procedimientos[codProcedimiento],F123),SUMIF(tb_procedimientos[codProcedimiento],F123,tb_procedimientos[vrServicio]),IF(COUNTIF(tb_medicamentos[codTecnologiaSalud],F123)&gt;0,SUMIF(tb_medicamentos[codTecnologiaSalud],F123,tb_medicamentos[vrServicio]),IF(COUNTIF(tb_otrosservicios[codTecnologiaSalud],F123)&gt;0,SUMIF(tb_otrosservicios[codTecnologiaSalud],F123,tb_otrosservicios[vrServicio]),)))),"")</f>
        <v/>
      </c>
      <c r="N123" s="33"/>
    </row>
    <row r="124" spans="6:14" x14ac:dyDescent="0.25">
      <c r="F124" s="30"/>
      <c r="G124" s="31"/>
      <c r="H124" s="38"/>
      <c r="I124" s="32"/>
      <c r="J124" s="32"/>
      <c r="K124" s="27"/>
      <c r="L124" s="11" t="str">
        <f>IF(F124&lt;&gt;"",IF(COUNTIF(tb_consultas[codConsulta],F124)&gt;0,COUNTIF(tb_consultas[codConsulta],F124),IF(COUNTIF(tb_procedimientos[codProcedimiento],F124),COUNTIF(tb_procedimientos[codProcedimiento],F124),IF(COUNTIF(tb_medicamentos[codTecnologiaSalud],F124)&gt;0,SUMIF(tb_medicamentos[codTecnologiaSalud],F124,tb_medicamentos[cantidadMedicamento]),IF(COUNTIF(tb_otrosservicios[codTecnologiaSalud],F124)&gt;0,SUMIF(tb_otrosservicios[codTecnologiaSalud],F124,tb_otrosservicios[cantidadOS]),)))),"")</f>
        <v/>
      </c>
      <c r="M124" s="26" t="str">
        <f>IF(F124&lt;&gt;"",IF(COUNTIF(tb_consultas[codConsulta],F124)&gt;0,SUMIF(tb_consultas[codConsulta],F124,tb_consultas[vrServicio]),IF(COUNTIF(tb_procedimientos[codProcedimiento],F124),SUMIF(tb_procedimientos[codProcedimiento],F124,tb_procedimientos[vrServicio]),IF(COUNTIF(tb_medicamentos[codTecnologiaSalud],F124)&gt;0,SUMIF(tb_medicamentos[codTecnologiaSalud],F124,tb_medicamentos[vrServicio]),IF(COUNTIF(tb_otrosservicios[codTecnologiaSalud],F124)&gt;0,SUMIF(tb_otrosservicios[codTecnologiaSalud],F124,tb_otrosservicios[vrServicio]),)))),"")</f>
        <v/>
      </c>
      <c r="N124" s="33"/>
    </row>
    <row r="125" spans="6:14" x14ac:dyDescent="0.25">
      <c r="F125" s="30"/>
      <c r="G125" s="31"/>
      <c r="H125" s="38"/>
      <c r="I125" s="32"/>
      <c r="J125" s="32"/>
      <c r="K125" s="27"/>
      <c r="L125" s="11" t="str">
        <f>IF(F125&lt;&gt;"",IF(COUNTIF(tb_consultas[codConsulta],F125)&gt;0,COUNTIF(tb_consultas[codConsulta],F125),IF(COUNTIF(tb_procedimientos[codProcedimiento],F125),COUNTIF(tb_procedimientos[codProcedimiento],F125),IF(COUNTIF(tb_medicamentos[codTecnologiaSalud],F125)&gt;0,SUMIF(tb_medicamentos[codTecnologiaSalud],F125,tb_medicamentos[cantidadMedicamento]),IF(COUNTIF(tb_otrosservicios[codTecnologiaSalud],F125)&gt;0,SUMIF(tb_otrosservicios[codTecnologiaSalud],F125,tb_otrosservicios[cantidadOS]),)))),"")</f>
        <v/>
      </c>
      <c r="M125" s="26" t="str">
        <f>IF(F125&lt;&gt;"",IF(COUNTIF(tb_consultas[codConsulta],F125)&gt;0,SUMIF(tb_consultas[codConsulta],F125,tb_consultas[vrServicio]),IF(COUNTIF(tb_procedimientos[codProcedimiento],F125),SUMIF(tb_procedimientos[codProcedimiento],F125,tb_procedimientos[vrServicio]),IF(COUNTIF(tb_medicamentos[codTecnologiaSalud],F125)&gt;0,SUMIF(tb_medicamentos[codTecnologiaSalud],F125,tb_medicamentos[vrServicio]),IF(COUNTIF(tb_otrosservicios[codTecnologiaSalud],F125)&gt;0,SUMIF(tb_otrosservicios[codTecnologiaSalud],F125,tb_otrosservicios[vrServicio]),)))),"")</f>
        <v/>
      </c>
      <c r="N125" s="33"/>
    </row>
    <row r="126" spans="6:14" x14ac:dyDescent="0.25">
      <c r="F126" s="30"/>
      <c r="G126" s="31"/>
      <c r="H126" s="38"/>
      <c r="I126" s="32"/>
      <c r="J126" s="32"/>
      <c r="K126" s="27"/>
      <c r="L126" s="11" t="str">
        <f>IF(F126&lt;&gt;"",IF(COUNTIF(tb_consultas[codConsulta],F126)&gt;0,COUNTIF(tb_consultas[codConsulta],F126),IF(COUNTIF(tb_procedimientos[codProcedimiento],F126),COUNTIF(tb_procedimientos[codProcedimiento],F126),IF(COUNTIF(tb_medicamentos[codTecnologiaSalud],F126)&gt;0,SUMIF(tb_medicamentos[codTecnologiaSalud],F126,tb_medicamentos[cantidadMedicamento]),IF(COUNTIF(tb_otrosservicios[codTecnologiaSalud],F126)&gt;0,SUMIF(tb_otrosservicios[codTecnologiaSalud],F126,tb_otrosservicios[cantidadOS]),)))),"")</f>
        <v/>
      </c>
      <c r="M126" s="26" t="str">
        <f>IF(F126&lt;&gt;"",IF(COUNTIF(tb_consultas[codConsulta],F126)&gt;0,SUMIF(tb_consultas[codConsulta],F126,tb_consultas[vrServicio]),IF(COUNTIF(tb_procedimientos[codProcedimiento],F126),SUMIF(tb_procedimientos[codProcedimiento],F126,tb_procedimientos[vrServicio]),IF(COUNTIF(tb_medicamentos[codTecnologiaSalud],F126)&gt;0,SUMIF(tb_medicamentos[codTecnologiaSalud],F126,tb_medicamentos[vrServicio]),IF(COUNTIF(tb_otrosservicios[codTecnologiaSalud],F126)&gt;0,SUMIF(tb_otrosservicios[codTecnologiaSalud],F126,tb_otrosservicios[vrServicio]),)))),"")</f>
        <v/>
      </c>
      <c r="N126" s="33"/>
    </row>
    <row r="127" spans="6:14" x14ac:dyDescent="0.25">
      <c r="F127" s="30"/>
      <c r="G127" s="31"/>
      <c r="H127" s="38"/>
      <c r="I127" s="32"/>
      <c r="J127" s="32"/>
      <c r="K127" s="27"/>
      <c r="L127" s="11" t="str">
        <f>IF(F127&lt;&gt;"",IF(COUNTIF(tb_consultas[codConsulta],F127)&gt;0,COUNTIF(tb_consultas[codConsulta],F127),IF(COUNTIF(tb_procedimientos[codProcedimiento],F127),COUNTIF(tb_procedimientos[codProcedimiento],F127),IF(COUNTIF(tb_medicamentos[codTecnologiaSalud],F127)&gt;0,SUMIF(tb_medicamentos[codTecnologiaSalud],F127,tb_medicamentos[cantidadMedicamento]),IF(COUNTIF(tb_otrosservicios[codTecnologiaSalud],F127)&gt;0,SUMIF(tb_otrosservicios[codTecnologiaSalud],F127,tb_otrosservicios[cantidadOS]),)))),"")</f>
        <v/>
      </c>
      <c r="M127" s="26" t="str">
        <f>IF(F127&lt;&gt;"",IF(COUNTIF(tb_consultas[codConsulta],F127)&gt;0,SUMIF(tb_consultas[codConsulta],F127,tb_consultas[vrServicio]),IF(COUNTIF(tb_procedimientos[codProcedimiento],F127),SUMIF(tb_procedimientos[codProcedimiento],F127,tb_procedimientos[vrServicio]),IF(COUNTIF(tb_medicamentos[codTecnologiaSalud],F127)&gt;0,SUMIF(tb_medicamentos[codTecnologiaSalud],F127,tb_medicamentos[vrServicio]),IF(COUNTIF(tb_otrosservicios[codTecnologiaSalud],F127)&gt;0,SUMIF(tb_otrosservicios[codTecnologiaSalud],F127,tb_otrosservicios[vrServicio]),)))),"")</f>
        <v/>
      </c>
      <c r="N127" s="33"/>
    </row>
    <row r="128" spans="6:14" x14ac:dyDescent="0.25">
      <c r="F128" s="30"/>
      <c r="G128" s="31"/>
      <c r="H128" s="38"/>
      <c r="I128" s="32"/>
      <c r="J128" s="32"/>
      <c r="K128" s="27"/>
      <c r="L128" s="11" t="str">
        <f>IF(F128&lt;&gt;"",IF(COUNTIF(tb_consultas[codConsulta],F128)&gt;0,COUNTIF(tb_consultas[codConsulta],F128),IF(COUNTIF(tb_procedimientos[codProcedimiento],F128),COUNTIF(tb_procedimientos[codProcedimiento],F128),IF(COUNTIF(tb_medicamentos[codTecnologiaSalud],F128)&gt;0,SUMIF(tb_medicamentos[codTecnologiaSalud],F128,tb_medicamentos[cantidadMedicamento]),IF(COUNTIF(tb_otrosservicios[codTecnologiaSalud],F128)&gt;0,SUMIF(tb_otrosservicios[codTecnologiaSalud],F128,tb_otrosservicios[cantidadOS]),)))),"")</f>
        <v/>
      </c>
      <c r="M128" s="26" t="str">
        <f>IF(F128&lt;&gt;"",IF(COUNTIF(tb_consultas[codConsulta],F128)&gt;0,SUMIF(tb_consultas[codConsulta],F128,tb_consultas[vrServicio]),IF(COUNTIF(tb_procedimientos[codProcedimiento],F128),SUMIF(tb_procedimientos[codProcedimiento],F128,tb_procedimientos[vrServicio]),IF(COUNTIF(tb_medicamentos[codTecnologiaSalud],F128)&gt;0,SUMIF(tb_medicamentos[codTecnologiaSalud],F128,tb_medicamentos[vrServicio]),IF(COUNTIF(tb_otrosservicios[codTecnologiaSalud],F128)&gt;0,SUMIF(tb_otrosservicios[codTecnologiaSalud],F128,tb_otrosservicios[vrServicio]),)))),"")</f>
        <v/>
      </c>
      <c r="N128" s="33"/>
    </row>
    <row r="129" spans="6:14" x14ac:dyDescent="0.25">
      <c r="F129" s="30"/>
      <c r="G129" s="31"/>
      <c r="H129" s="38"/>
      <c r="I129" s="32"/>
      <c r="J129" s="32"/>
      <c r="K129" s="27"/>
      <c r="L129" s="11" t="str">
        <f>IF(F129&lt;&gt;"",IF(COUNTIF(tb_consultas[codConsulta],F129)&gt;0,COUNTIF(tb_consultas[codConsulta],F129),IF(COUNTIF(tb_procedimientos[codProcedimiento],F129),COUNTIF(tb_procedimientos[codProcedimiento],F129),IF(COUNTIF(tb_medicamentos[codTecnologiaSalud],F129)&gt;0,SUMIF(tb_medicamentos[codTecnologiaSalud],F129,tb_medicamentos[cantidadMedicamento]),IF(COUNTIF(tb_otrosservicios[codTecnologiaSalud],F129)&gt;0,SUMIF(tb_otrosservicios[codTecnologiaSalud],F129,tb_otrosservicios[cantidadOS]),)))),"")</f>
        <v/>
      </c>
      <c r="M129" s="26" t="str">
        <f>IF(F129&lt;&gt;"",IF(COUNTIF(tb_consultas[codConsulta],F129)&gt;0,SUMIF(tb_consultas[codConsulta],F129,tb_consultas[vrServicio]),IF(COUNTIF(tb_procedimientos[codProcedimiento],F129),SUMIF(tb_procedimientos[codProcedimiento],F129,tb_procedimientos[vrServicio]),IF(COUNTIF(tb_medicamentos[codTecnologiaSalud],F129)&gt;0,SUMIF(tb_medicamentos[codTecnologiaSalud],F129,tb_medicamentos[vrServicio]),IF(COUNTIF(tb_otrosservicios[codTecnologiaSalud],F129)&gt;0,SUMIF(tb_otrosservicios[codTecnologiaSalud],F129,tb_otrosservicios[vrServicio]),)))),"")</f>
        <v/>
      </c>
      <c r="N129" s="33"/>
    </row>
    <row r="130" spans="6:14" x14ac:dyDescent="0.25">
      <c r="F130" s="30"/>
      <c r="G130" s="31"/>
      <c r="H130" s="38"/>
      <c r="I130" s="32"/>
      <c r="J130" s="32"/>
      <c r="K130" s="27"/>
      <c r="L130" s="11" t="str">
        <f>IF(F130&lt;&gt;"",IF(COUNTIF(tb_consultas[codConsulta],F130)&gt;0,COUNTIF(tb_consultas[codConsulta],F130),IF(COUNTIF(tb_procedimientos[codProcedimiento],F130),COUNTIF(tb_procedimientos[codProcedimiento],F130),IF(COUNTIF(tb_medicamentos[codTecnologiaSalud],F130)&gt;0,SUMIF(tb_medicamentos[codTecnologiaSalud],F130,tb_medicamentos[cantidadMedicamento]),IF(COUNTIF(tb_otrosservicios[codTecnologiaSalud],F130)&gt;0,SUMIF(tb_otrosservicios[codTecnologiaSalud],F130,tb_otrosservicios[cantidadOS]),)))),"")</f>
        <v/>
      </c>
      <c r="M130" s="26" t="str">
        <f>IF(F130&lt;&gt;"",IF(COUNTIF(tb_consultas[codConsulta],F130)&gt;0,SUMIF(tb_consultas[codConsulta],F130,tb_consultas[vrServicio]),IF(COUNTIF(tb_procedimientos[codProcedimiento],F130),SUMIF(tb_procedimientos[codProcedimiento],F130,tb_procedimientos[vrServicio]),IF(COUNTIF(tb_medicamentos[codTecnologiaSalud],F130)&gt;0,SUMIF(tb_medicamentos[codTecnologiaSalud],F130,tb_medicamentos[vrServicio]),IF(COUNTIF(tb_otrosservicios[codTecnologiaSalud],F130)&gt;0,SUMIF(tb_otrosservicios[codTecnologiaSalud],F130,tb_otrosservicios[vrServicio]),)))),"")</f>
        <v/>
      </c>
      <c r="N130" s="33"/>
    </row>
    <row r="131" spans="6:14" x14ac:dyDescent="0.25">
      <c r="F131" s="30"/>
      <c r="G131" s="31"/>
      <c r="H131" s="38"/>
      <c r="I131" s="32"/>
      <c r="J131" s="32"/>
      <c r="K131" s="27"/>
      <c r="L131" s="11" t="str">
        <f>IF(F131&lt;&gt;"",IF(COUNTIF(tb_consultas[codConsulta],F131)&gt;0,COUNTIF(tb_consultas[codConsulta],F131),IF(COUNTIF(tb_procedimientos[codProcedimiento],F131),COUNTIF(tb_procedimientos[codProcedimiento],F131),IF(COUNTIF(tb_medicamentos[codTecnologiaSalud],F131)&gt;0,SUMIF(tb_medicamentos[codTecnologiaSalud],F131,tb_medicamentos[cantidadMedicamento]),IF(COUNTIF(tb_otrosservicios[codTecnologiaSalud],F131)&gt;0,SUMIF(tb_otrosservicios[codTecnologiaSalud],F131,tb_otrosservicios[cantidadOS]),)))),"")</f>
        <v/>
      </c>
      <c r="M131" s="26" t="str">
        <f>IF(F131&lt;&gt;"",IF(COUNTIF(tb_consultas[codConsulta],F131)&gt;0,SUMIF(tb_consultas[codConsulta],F131,tb_consultas[vrServicio]),IF(COUNTIF(tb_procedimientos[codProcedimiento],F131),SUMIF(tb_procedimientos[codProcedimiento],F131,tb_procedimientos[vrServicio]),IF(COUNTIF(tb_medicamentos[codTecnologiaSalud],F131)&gt;0,SUMIF(tb_medicamentos[codTecnologiaSalud],F131,tb_medicamentos[vrServicio]),IF(COUNTIF(tb_otrosservicios[codTecnologiaSalud],F131)&gt;0,SUMIF(tb_otrosservicios[codTecnologiaSalud],F131,tb_otrosservicios[vrServicio]),)))),"")</f>
        <v/>
      </c>
      <c r="N131" s="33"/>
    </row>
    <row r="132" spans="6:14" x14ac:dyDescent="0.25">
      <c r="F132" s="30"/>
      <c r="G132" s="31"/>
      <c r="H132" s="38"/>
      <c r="I132" s="32"/>
      <c r="J132" s="32"/>
      <c r="K132" s="27"/>
      <c r="L132" s="11" t="str">
        <f>IF(F132&lt;&gt;"",IF(COUNTIF(tb_consultas[codConsulta],F132)&gt;0,COUNTIF(tb_consultas[codConsulta],F132),IF(COUNTIF(tb_procedimientos[codProcedimiento],F132),COUNTIF(tb_procedimientos[codProcedimiento],F132),IF(COUNTIF(tb_medicamentos[codTecnologiaSalud],F132)&gt;0,SUMIF(tb_medicamentos[codTecnologiaSalud],F132,tb_medicamentos[cantidadMedicamento]),IF(COUNTIF(tb_otrosservicios[codTecnologiaSalud],F132)&gt;0,SUMIF(tb_otrosservicios[codTecnologiaSalud],F132,tb_otrosservicios[cantidadOS]),)))),"")</f>
        <v/>
      </c>
      <c r="M132" s="26" t="str">
        <f>IF(F132&lt;&gt;"",IF(COUNTIF(tb_consultas[codConsulta],F132)&gt;0,SUMIF(tb_consultas[codConsulta],F132,tb_consultas[vrServicio]),IF(COUNTIF(tb_procedimientos[codProcedimiento],F132),SUMIF(tb_procedimientos[codProcedimiento],F132,tb_procedimientos[vrServicio]),IF(COUNTIF(tb_medicamentos[codTecnologiaSalud],F132)&gt;0,SUMIF(tb_medicamentos[codTecnologiaSalud],F132,tb_medicamentos[vrServicio]),IF(COUNTIF(tb_otrosservicios[codTecnologiaSalud],F132)&gt;0,SUMIF(tb_otrosservicios[codTecnologiaSalud],F132,tb_otrosservicios[vrServicio]),)))),"")</f>
        <v/>
      </c>
      <c r="N132" s="33"/>
    </row>
    <row r="133" spans="6:14" x14ac:dyDescent="0.25">
      <c r="F133" s="30"/>
      <c r="G133" s="31"/>
      <c r="H133" s="38"/>
      <c r="I133" s="32"/>
      <c r="J133" s="32"/>
      <c r="K133" s="27"/>
      <c r="L133" s="11" t="str">
        <f>IF(F133&lt;&gt;"",IF(COUNTIF(tb_consultas[codConsulta],F133)&gt;0,COUNTIF(tb_consultas[codConsulta],F133),IF(COUNTIF(tb_procedimientos[codProcedimiento],F133),COUNTIF(tb_procedimientos[codProcedimiento],F133),IF(COUNTIF(tb_medicamentos[codTecnologiaSalud],F133)&gt;0,SUMIF(tb_medicamentos[codTecnologiaSalud],F133,tb_medicamentos[cantidadMedicamento]),IF(COUNTIF(tb_otrosservicios[codTecnologiaSalud],F133)&gt;0,SUMIF(tb_otrosservicios[codTecnologiaSalud],F133,tb_otrosservicios[cantidadOS]),)))),"")</f>
        <v/>
      </c>
      <c r="M133" s="26" t="str">
        <f>IF(F133&lt;&gt;"",IF(COUNTIF(tb_consultas[codConsulta],F133)&gt;0,SUMIF(tb_consultas[codConsulta],F133,tb_consultas[vrServicio]),IF(COUNTIF(tb_procedimientos[codProcedimiento],F133),SUMIF(tb_procedimientos[codProcedimiento],F133,tb_procedimientos[vrServicio]),IF(COUNTIF(tb_medicamentos[codTecnologiaSalud],F133)&gt;0,SUMIF(tb_medicamentos[codTecnologiaSalud],F133,tb_medicamentos[vrServicio]),IF(COUNTIF(tb_otrosservicios[codTecnologiaSalud],F133)&gt;0,SUMIF(tb_otrosservicios[codTecnologiaSalud],F133,tb_otrosservicios[vrServicio]),)))),"")</f>
        <v/>
      </c>
      <c r="N133" s="33"/>
    </row>
    <row r="134" spans="6:14" x14ac:dyDescent="0.25">
      <c r="F134" s="30"/>
      <c r="G134" s="31"/>
      <c r="H134" s="38"/>
      <c r="I134" s="32"/>
      <c r="J134" s="32"/>
      <c r="K134" s="27"/>
      <c r="L134" s="11" t="str">
        <f>IF(F134&lt;&gt;"",IF(COUNTIF(tb_consultas[codConsulta],F134)&gt;0,COUNTIF(tb_consultas[codConsulta],F134),IF(COUNTIF(tb_procedimientos[codProcedimiento],F134),COUNTIF(tb_procedimientos[codProcedimiento],F134),IF(COUNTIF(tb_medicamentos[codTecnologiaSalud],F134)&gt;0,SUMIF(tb_medicamentos[codTecnologiaSalud],F134,tb_medicamentos[cantidadMedicamento]),IF(COUNTIF(tb_otrosservicios[codTecnologiaSalud],F134)&gt;0,SUMIF(tb_otrosservicios[codTecnologiaSalud],F134,tb_otrosservicios[cantidadOS]),)))),"")</f>
        <v/>
      </c>
      <c r="M134" s="26" t="str">
        <f>IF(F134&lt;&gt;"",IF(COUNTIF(tb_consultas[codConsulta],F134)&gt;0,SUMIF(tb_consultas[codConsulta],F134,tb_consultas[vrServicio]),IF(COUNTIF(tb_procedimientos[codProcedimiento],F134),SUMIF(tb_procedimientos[codProcedimiento],F134,tb_procedimientos[vrServicio]),IF(COUNTIF(tb_medicamentos[codTecnologiaSalud],F134)&gt;0,SUMIF(tb_medicamentos[codTecnologiaSalud],F134,tb_medicamentos[vrServicio]),IF(COUNTIF(tb_otrosservicios[codTecnologiaSalud],F134)&gt;0,SUMIF(tb_otrosservicios[codTecnologiaSalud],F134,tb_otrosservicios[vrServicio]),)))),"")</f>
        <v/>
      </c>
      <c r="N134" s="33"/>
    </row>
    <row r="135" spans="6:14" x14ac:dyDescent="0.25">
      <c r="F135" s="30"/>
      <c r="G135" s="31"/>
      <c r="H135" s="38"/>
      <c r="I135" s="32"/>
      <c r="J135" s="32"/>
      <c r="K135" s="27"/>
      <c r="L135" s="11" t="str">
        <f>IF(F135&lt;&gt;"",IF(COUNTIF(tb_consultas[codConsulta],F135)&gt;0,COUNTIF(tb_consultas[codConsulta],F135),IF(COUNTIF(tb_procedimientos[codProcedimiento],F135),COUNTIF(tb_procedimientos[codProcedimiento],F135),IF(COUNTIF(tb_medicamentos[codTecnologiaSalud],F135)&gt;0,SUMIF(tb_medicamentos[codTecnologiaSalud],F135,tb_medicamentos[cantidadMedicamento]),IF(COUNTIF(tb_otrosservicios[codTecnologiaSalud],F135)&gt;0,SUMIF(tb_otrosservicios[codTecnologiaSalud],F135,tb_otrosservicios[cantidadOS]),)))),"")</f>
        <v/>
      </c>
      <c r="M135" s="26" t="str">
        <f>IF(F135&lt;&gt;"",IF(COUNTIF(tb_consultas[codConsulta],F135)&gt;0,SUMIF(tb_consultas[codConsulta],F135,tb_consultas[vrServicio]),IF(COUNTIF(tb_procedimientos[codProcedimiento],F135),SUMIF(tb_procedimientos[codProcedimiento],F135,tb_procedimientos[vrServicio]),IF(COUNTIF(tb_medicamentos[codTecnologiaSalud],F135)&gt;0,SUMIF(tb_medicamentos[codTecnologiaSalud],F135,tb_medicamentos[vrServicio]),IF(COUNTIF(tb_otrosservicios[codTecnologiaSalud],F135)&gt;0,SUMIF(tb_otrosservicios[codTecnologiaSalud],F135,tb_otrosservicios[vrServicio]),)))),"")</f>
        <v/>
      </c>
      <c r="N135" s="33"/>
    </row>
    <row r="136" spans="6:14" x14ac:dyDescent="0.25">
      <c r="F136" s="30"/>
      <c r="G136" s="31"/>
      <c r="H136" s="38"/>
      <c r="I136" s="32"/>
      <c r="J136" s="32"/>
      <c r="K136" s="27"/>
      <c r="L136" s="11" t="str">
        <f>IF(F136&lt;&gt;"",IF(COUNTIF(tb_consultas[codConsulta],F136)&gt;0,COUNTIF(tb_consultas[codConsulta],F136),IF(COUNTIF(tb_procedimientos[codProcedimiento],F136),COUNTIF(tb_procedimientos[codProcedimiento],F136),IF(COUNTIF(tb_medicamentos[codTecnologiaSalud],F136)&gt;0,SUMIF(tb_medicamentos[codTecnologiaSalud],F136,tb_medicamentos[cantidadMedicamento]),IF(COUNTIF(tb_otrosservicios[codTecnologiaSalud],F136)&gt;0,SUMIF(tb_otrosservicios[codTecnologiaSalud],F136,tb_otrosservicios[cantidadOS]),)))),"")</f>
        <v/>
      </c>
      <c r="M136" s="26" t="str">
        <f>IF(F136&lt;&gt;"",IF(COUNTIF(tb_consultas[codConsulta],F136)&gt;0,SUMIF(tb_consultas[codConsulta],F136,tb_consultas[vrServicio]),IF(COUNTIF(tb_procedimientos[codProcedimiento],F136),SUMIF(tb_procedimientos[codProcedimiento],F136,tb_procedimientos[vrServicio]),IF(COUNTIF(tb_medicamentos[codTecnologiaSalud],F136)&gt;0,SUMIF(tb_medicamentos[codTecnologiaSalud],F136,tb_medicamentos[vrServicio]),IF(COUNTIF(tb_otrosservicios[codTecnologiaSalud],F136)&gt;0,SUMIF(tb_otrosservicios[codTecnologiaSalud],F136,tb_otrosservicios[vrServicio]),)))),"")</f>
        <v/>
      </c>
      <c r="N136" s="33"/>
    </row>
    <row r="137" spans="6:14" x14ac:dyDescent="0.25">
      <c r="F137" s="30"/>
      <c r="G137" s="31"/>
      <c r="H137" s="38"/>
      <c r="I137" s="32"/>
      <c r="J137" s="32"/>
      <c r="K137" s="27"/>
      <c r="L137" s="11" t="str">
        <f>IF(F137&lt;&gt;"",IF(COUNTIF(tb_consultas[codConsulta],F137)&gt;0,COUNTIF(tb_consultas[codConsulta],F137),IF(COUNTIF(tb_procedimientos[codProcedimiento],F137),COUNTIF(tb_procedimientos[codProcedimiento],F137),IF(COUNTIF(tb_medicamentos[codTecnologiaSalud],F137)&gt;0,SUMIF(tb_medicamentos[codTecnologiaSalud],F137,tb_medicamentos[cantidadMedicamento]),IF(COUNTIF(tb_otrosservicios[codTecnologiaSalud],F137)&gt;0,SUMIF(tb_otrosservicios[codTecnologiaSalud],F137,tb_otrosservicios[cantidadOS]),)))),"")</f>
        <v/>
      </c>
      <c r="M137" s="26" t="str">
        <f>IF(F137&lt;&gt;"",IF(COUNTIF(tb_consultas[codConsulta],F137)&gt;0,SUMIF(tb_consultas[codConsulta],F137,tb_consultas[vrServicio]),IF(COUNTIF(tb_procedimientos[codProcedimiento],F137),SUMIF(tb_procedimientos[codProcedimiento],F137,tb_procedimientos[vrServicio]),IF(COUNTIF(tb_medicamentos[codTecnologiaSalud],F137)&gt;0,SUMIF(tb_medicamentos[codTecnologiaSalud],F137,tb_medicamentos[vrServicio]),IF(COUNTIF(tb_otrosservicios[codTecnologiaSalud],F137)&gt;0,SUMIF(tb_otrosservicios[codTecnologiaSalud],F137,tb_otrosservicios[vrServicio]),)))),"")</f>
        <v/>
      </c>
      <c r="N137" s="33"/>
    </row>
    <row r="138" spans="6:14" x14ac:dyDescent="0.25">
      <c r="F138" s="30"/>
      <c r="G138" s="31"/>
      <c r="H138" s="38"/>
      <c r="I138" s="32"/>
      <c r="J138" s="32"/>
      <c r="K138" s="27"/>
      <c r="L138" s="11" t="str">
        <f>IF(F138&lt;&gt;"",IF(COUNTIF(tb_consultas[codConsulta],F138)&gt;0,COUNTIF(tb_consultas[codConsulta],F138),IF(COUNTIF(tb_procedimientos[codProcedimiento],F138),COUNTIF(tb_procedimientos[codProcedimiento],F138),IF(COUNTIF(tb_medicamentos[codTecnologiaSalud],F138)&gt;0,SUMIF(tb_medicamentos[codTecnologiaSalud],F138,tb_medicamentos[cantidadMedicamento]),IF(COUNTIF(tb_otrosservicios[codTecnologiaSalud],F138)&gt;0,SUMIF(tb_otrosservicios[codTecnologiaSalud],F138,tb_otrosservicios[cantidadOS]),)))),"")</f>
        <v/>
      </c>
      <c r="M138" s="26" t="str">
        <f>IF(F138&lt;&gt;"",IF(COUNTIF(tb_consultas[codConsulta],F138)&gt;0,SUMIF(tb_consultas[codConsulta],F138,tb_consultas[vrServicio]),IF(COUNTIF(tb_procedimientos[codProcedimiento],F138),SUMIF(tb_procedimientos[codProcedimiento],F138,tb_procedimientos[vrServicio]),IF(COUNTIF(tb_medicamentos[codTecnologiaSalud],F138)&gt;0,SUMIF(tb_medicamentos[codTecnologiaSalud],F138,tb_medicamentos[vrServicio]),IF(COUNTIF(tb_otrosservicios[codTecnologiaSalud],F138)&gt;0,SUMIF(tb_otrosservicios[codTecnologiaSalud],F138,tb_otrosservicios[vrServicio]),)))),"")</f>
        <v/>
      </c>
      <c r="N138" s="33"/>
    </row>
    <row r="139" spans="6:14" x14ac:dyDescent="0.25">
      <c r="F139" s="30"/>
      <c r="G139" s="31"/>
      <c r="H139" s="38"/>
      <c r="I139" s="32"/>
      <c r="J139" s="32"/>
      <c r="K139" s="27"/>
      <c r="L139" s="11" t="str">
        <f>IF(F139&lt;&gt;"",IF(COUNTIF(tb_consultas[codConsulta],F139)&gt;0,COUNTIF(tb_consultas[codConsulta],F139),IF(COUNTIF(tb_procedimientos[codProcedimiento],F139),COUNTIF(tb_procedimientos[codProcedimiento],F139),IF(COUNTIF(tb_medicamentos[codTecnologiaSalud],F139)&gt;0,SUMIF(tb_medicamentos[codTecnologiaSalud],F139,tb_medicamentos[cantidadMedicamento]),IF(COUNTIF(tb_otrosservicios[codTecnologiaSalud],F139)&gt;0,SUMIF(tb_otrosservicios[codTecnologiaSalud],F139,tb_otrosservicios[cantidadOS]),)))),"")</f>
        <v/>
      </c>
      <c r="M139" s="26" t="str">
        <f>IF(F139&lt;&gt;"",IF(COUNTIF(tb_consultas[codConsulta],F139)&gt;0,SUMIF(tb_consultas[codConsulta],F139,tb_consultas[vrServicio]),IF(COUNTIF(tb_procedimientos[codProcedimiento],F139),SUMIF(tb_procedimientos[codProcedimiento],F139,tb_procedimientos[vrServicio]),IF(COUNTIF(tb_medicamentos[codTecnologiaSalud],F139)&gt;0,SUMIF(tb_medicamentos[codTecnologiaSalud],F139,tb_medicamentos[vrServicio]),IF(COUNTIF(tb_otrosservicios[codTecnologiaSalud],F139)&gt;0,SUMIF(tb_otrosservicios[codTecnologiaSalud],F139,tb_otrosservicios[vrServicio]),)))),"")</f>
        <v/>
      </c>
      <c r="N139" s="33"/>
    </row>
    <row r="140" spans="6:14" x14ac:dyDescent="0.25">
      <c r="F140" s="30"/>
      <c r="G140" s="31"/>
      <c r="H140" s="38"/>
      <c r="I140" s="32"/>
      <c r="J140" s="32"/>
      <c r="K140" s="27"/>
      <c r="L140" s="11" t="str">
        <f>IF(F140&lt;&gt;"",IF(COUNTIF(tb_consultas[codConsulta],F140)&gt;0,COUNTIF(tb_consultas[codConsulta],F140),IF(COUNTIF(tb_procedimientos[codProcedimiento],F140),COUNTIF(tb_procedimientos[codProcedimiento],F140),IF(COUNTIF(tb_medicamentos[codTecnologiaSalud],F140)&gt;0,SUMIF(tb_medicamentos[codTecnologiaSalud],F140,tb_medicamentos[cantidadMedicamento]),IF(COUNTIF(tb_otrosservicios[codTecnologiaSalud],F140)&gt;0,SUMIF(tb_otrosservicios[codTecnologiaSalud],F140,tb_otrosservicios[cantidadOS]),)))),"")</f>
        <v/>
      </c>
      <c r="M140" s="26" t="str">
        <f>IF(F140&lt;&gt;"",IF(COUNTIF(tb_consultas[codConsulta],F140)&gt;0,SUMIF(tb_consultas[codConsulta],F140,tb_consultas[vrServicio]),IF(COUNTIF(tb_procedimientos[codProcedimiento],F140),SUMIF(tb_procedimientos[codProcedimiento],F140,tb_procedimientos[vrServicio]),IF(COUNTIF(tb_medicamentos[codTecnologiaSalud],F140)&gt;0,SUMIF(tb_medicamentos[codTecnologiaSalud],F140,tb_medicamentos[vrServicio]),IF(COUNTIF(tb_otrosservicios[codTecnologiaSalud],F140)&gt;0,SUMIF(tb_otrosservicios[codTecnologiaSalud],F140,tb_otrosservicios[vrServicio]),)))),"")</f>
        <v/>
      </c>
      <c r="N140" s="33"/>
    </row>
    <row r="141" spans="6:14" x14ac:dyDescent="0.25">
      <c r="F141" s="30"/>
      <c r="G141" s="31"/>
      <c r="H141" s="38"/>
      <c r="I141" s="32"/>
      <c r="J141" s="32"/>
      <c r="K141" s="27"/>
      <c r="L141" s="11" t="str">
        <f>IF(F141&lt;&gt;"",IF(COUNTIF(tb_consultas[codConsulta],F141)&gt;0,COUNTIF(tb_consultas[codConsulta],F141),IF(COUNTIF(tb_procedimientos[codProcedimiento],F141),COUNTIF(tb_procedimientos[codProcedimiento],F141),IF(COUNTIF(tb_medicamentos[codTecnologiaSalud],F141)&gt;0,SUMIF(tb_medicamentos[codTecnologiaSalud],F141,tb_medicamentos[cantidadMedicamento]),IF(COUNTIF(tb_otrosservicios[codTecnologiaSalud],F141)&gt;0,SUMIF(tb_otrosservicios[codTecnologiaSalud],F141,tb_otrosservicios[cantidadOS]),)))),"")</f>
        <v/>
      </c>
      <c r="M141" s="26" t="str">
        <f>IF(F141&lt;&gt;"",IF(COUNTIF(tb_consultas[codConsulta],F141)&gt;0,SUMIF(tb_consultas[codConsulta],F141,tb_consultas[vrServicio]),IF(COUNTIF(tb_procedimientos[codProcedimiento],F141),SUMIF(tb_procedimientos[codProcedimiento],F141,tb_procedimientos[vrServicio]),IF(COUNTIF(tb_medicamentos[codTecnologiaSalud],F141)&gt;0,SUMIF(tb_medicamentos[codTecnologiaSalud],F141,tb_medicamentos[vrServicio]),IF(COUNTIF(tb_otrosservicios[codTecnologiaSalud],F141)&gt;0,SUMIF(tb_otrosservicios[codTecnologiaSalud],F141,tb_otrosservicios[vrServicio]),)))),"")</f>
        <v/>
      </c>
      <c r="N141" s="33"/>
    </row>
    <row r="142" spans="6:14" x14ac:dyDescent="0.25">
      <c r="F142" s="30"/>
      <c r="G142" s="31"/>
      <c r="H142" s="38"/>
      <c r="I142" s="32"/>
      <c r="J142" s="32"/>
      <c r="K142" s="27"/>
      <c r="L142" s="11" t="str">
        <f>IF(F142&lt;&gt;"",IF(COUNTIF(tb_consultas[codConsulta],F142)&gt;0,COUNTIF(tb_consultas[codConsulta],F142),IF(COUNTIF(tb_procedimientos[codProcedimiento],F142),COUNTIF(tb_procedimientos[codProcedimiento],F142),IF(COUNTIF(tb_medicamentos[codTecnologiaSalud],F142)&gt;0,SUMIF(tb_medicamentos[codTecnologiaSalud],F142,tb_medicamentos[cantidadMedicamento]),IF(COUNTIF(tb_otrosservicios[codTecnologiaSalud],F142)&gt;0,SUMIF(tb_otrosservicios[codTecnologiaSalud],F142,tb_otrosservicios[cantidadOS]),)))),"")</f>
        <v/>
      </c>
      <c r="M142" s="26" t="str">
        <f>IF(F142&lt;&gt;"",IF(COUNTIF(tb_consultas[codConsulta],F142)&gt;0,SUMIF(tb_consultas[codConsulta],F142,tb_consultas[vrServicio]),IF(COUNTIF(tb_procedimientos[codProcedimiento],F142),SUMIF(tb_procedimientos[codProcedimiento],F142,tb_procedimientos[vrServicio]),IF(COUNTIF(tb_medicamentos[codTecnologiaSalud],F142)&gt;0,SUMIF(tb_medicamentos[codTecnologiaSalud],F142,tb_medicamentos[vrServicio]),IF(COUNTIF(tb_otrosservicios[codTecnologiaSalud],F142)&gt;0,SUMIF(tb_otrosservicios[codTecnologiaSalud],F142,tb_otrosservicios[vrServicio]),)))),"")</f>
        <v/>
      </c>
      <c r="N142" s="33"/>
    </row>
    <row r="143" spans="6:14" x14ac:dyDescent="0.25">
      <c r="F143" s="30"/>
      <c r="G143" s="31"/>
      <c r="H143" s="38"/>
      <c r="I143" s="32"/>
      <c r="J143" s="32"/>
      <c r="K143" s="27"/>
      <c r="L143" s="11" t="str">
        <f>IF(F143&lt;&gt;"",IF(COUNTIF(tb_consultas[codConsulta],F143)&gt;0,COUNTIF(tb_consultas[codConsulta],F143),IF(COUNTIF(tb_procedimientos[codProcedimiento],F143),COUNTIF(tb_procedimientos[codProcedimiento],F143),IF(COUNTIF(tb_medicamentos[codTecnologiaSalud],F143)&gt;0,SUMIF(tb_medicamentos[codTecnologiaSalud],F143,tb_medicamentos[cantidadMedicamento]),IF(COUNTIF(tb_otrosservicios[codTecnologiaSalud],F143)&gt;0,SUMIF(tb_otrosservicios[codTecnologiaSalud],F143,tb_otrosservicios[cantidadOS]),)))),"")</f>
        <v/>
      </c>
      <c r="M143" s="26" t="str">
        <f>IF(F143&lt;&gt;"",IF(COUNTIF(tb_consultas[codConsulta],F143)&gt;0,SUMIF(tb_consultas[codConsulta],F143,tb_consultas[vrServicio]),IF(COUNTIF(tb_procedimientos[codProcedimiento],F143),SUMIF(tb_procedimientos[codProcedimiento],F143,tb_procedimientos[vrServicio]),IF(COUNTIF(tb_medicamentos[codTecnologiaSalud],F143)&gt;0,SUMIF(tb_medicamentos[codTecnologiaSalud],F143,tb_medicamentos[vrServicio]),IF(COUNTIF(tb_otrosservicios[codTecnologiaSalud],F143)&gt;0,SUMIF(tb_otrosservicios[codTecnologiaSalud],F143,tb_otrosservicios[vrServicio]),)))),"")</f>
        <v/>
      </c>
      <c r="N143" s="33"/>
    </row>
    <row r="144" spans="6:14" x14ac:dyDescent="0.25">
      <c r="F144" s="30"/>
      <c r="G144" s="31"/>
      <c r="H144" s="38"/>
      <c r="I144" s="32"/>
      <c r="J144" s="32"/>
      <c r="K144" s="27"/>
      <c r="L144" s="11" t="str">
        <f>IF(F144&lt;&gt;"",IF(COUNTIF(tb_consultas[codConsulta],F144)&gt;0,COUNTIF(tb_consultas[codConsulta],F144),IF(COUNTIF(tb_procedimientos[codProcedimiento],F144),COUNTIF(tb_procedimientos[codProcedimiento],F144),IF(COUNTIF(tb_medicamentos[codTecnologiaSalud],F144)&gt;0,SUMIF(tb_medicamentos[codTecnologiaSalud],F144,tb_medicamentos[cantidadMedicamento]),IF(COUNTIF(tb_otrosservicios[codTecnologiaSalud],F144)&gt;0,SUMIF(tb_otrosservicios[codTecnologiaSalud],F144,tb_otrosservicios[cantidadOS]),)))),"")</f>
        <v/>
      </c>
      <c r="M144" s="26" t="str">
        <f>IF(F144&lt;&gt;"",IF(COUNTIF(tb_consultas[codConsulta],F144)&gt;0,SUMIF(tb_consultas[codConsulta],F144,tb_consultas[vrServicio]),IF(COUNTIF(tb_procedimientos[codProcedimiento],F144),SUMIF(tb_procedimientos[codProcedimiento],F144,tb_procedimientos[vrServicio]),IF(COUNTIF(tb_medicamentos[codTecnologiaSalud],F144)&gt;0,SUMIF(tb_medicamentos[codTecnologiaSalud],F144,tb_medicamentos[vrServicio]),IF(COUNTIF(tb_otrosservicios[codTecnologiaSalud],F144)&gt;0,SUMIF(tb_otrosservicios[codTecnologiaSalud],F144,tb_otrosservicios[vrServicio]),)))),"")</f>
        <v/>
      </c>
      <c r="N144" s="33"/>
    </row>
    <row r="145" spans="6:14" x14ac:dyDescent="0.25">
      <c r="F145" s="30"/>
      <c r="G145" s="31"/>
      <c r="H145" s="38"/>
      <c r="I145" s="32"/>
      <c r="J145" s="32"/>
      <c r="K145" s="27"/>
      <c r="L145" s="11" t="str">
        <f>IF(F145&lt;&gt;"",IF(COUNTIF(tb_consultas[codConsulta],F145)&gt;0,COUNTIF(tb_consultas[codConsulta],F145),IF(COUNTIF(tb_procedimientos[codProcedimiento],F145),COUNTIF(tb_procedimientos[codProcedimiento],F145),IF(COUNTIF(tb_medicamentos[codTecnologiaSalud],F145)&gt;0,SUMIF(tb_medicamentos[codTecnologiaSalud],F145,tb_medicamentos[cantidadMedicamento]),IF(COUNTIF(tb_otrosservicios[codTecnologiaSalud],F145)&gt;0,SUMIF(tb_otrosservicios[codTecnologiaSalud],F145,tb_otrosservicios[cantidadOS]),)))),"")</f>
        <v/>
      </c>
      <c r="M145" s="26" t="str">
        <f>IF(F145&lt;&gt;"",IF(COUNTIF(tb_consultas[codConsulta],F145)&gt;0,SUMIF(tb_consultas[codConsulta],F145,tb_consultas[vrServicio]),IF(COUNTIF(tb_procedimientos[codProcedimiento],F145),SUMIF(tb_procedimientos[codProcedimiento],F145,tb_procedimientos[vrServicio]),IF(COUNTIF(tb_medicamentos[codTecnologiaSalud],F145)&gt;0,SUMIF(tb_medicamentos[codTecnologiaSalud],F145,tb_medicamentos[vrServicio]),IF(COUNTIF(tb_otrosservicios[codTecnologiaSalud],F145)&gt;0,SUMIF(tb_otrosservicios[codTecnologiaSalud],F145,tb_otrosservicios[vrServicio]),)))),"")</f>
        <v/>
      </c>
      <c r="N145" s="33"/>
    </row>
    <row r="146" spans="6:14" x14ac:dyDescent="0.25">
      <c r="F146" s="30"/>
      <c r="G146" s="31"/>
      <c r="H146" s="38"/>
      <c r="I146" s="32"/>
      <c r="J146" s="32"/>
      <c r="K146" s="27"/>
      <c r="L146" s="11" t="str">
        <f>IF(F146&lt;&gt;"",IF(COUNTIF(tb_consultas[codConsulta],F146)&gt;0,COUNTIF(tb_consultas[codConsulta],F146),IF(COUNTIF(tb_procedimientos[codProcedimiento],F146),COUNTIF(tb_procedimientos[codProcedimiento],F146),IF(COUNTIF(tb_medicamentos[codTecnologiaSalud],F146)&gt;0,SUMIF(tb_medicamentos[codTecnologiaSalud],F146,tb_medicamentos[cantidadMedicamento]),IF(COUNTIF(tb_otrosservicios[codTecnologiaSalud],F146)&gt;0,SUMIF(tb_otrosservicios[codTecnologiaSalud],F146,tb_otrosservicios[cantidadOS]),)))),"")</f>
        <v/>
      </c>
      <c r="M146" s="26" t="str">
        <f>IF(F146&lt;&gt;"",IF(COUNTIF(tb_consultas[codConsulta],F146)&gt;0,SUMIF(tb_consultas[codConsulta],F146,tb_consultas[vrServicio]),IF(COUNTIF(tb_procedimientos[codProcedimiento],F146),SUMIF(tb_procedimientos[codProcedimiento],F146,tb_procedimientos[vrServicio]),IF(COUNTIF(tb_medicamentos[codTecnologiaSalud],F146)&gt;0,SUMIF(tb_medicamentos[codTecnologiaSalud],F146,tb_medicamentos[vrServicio]),IF(COUNTIF(tb_otrosservicios[codTecnologiaSalud],F146)&gt;0,SUMIF(tb_otrosservicios[codTecnologiaSalud],F146,tb_otrosservicios[vrServicio]),)))),"")</f>
        <v/>
      </c>
      <c r="N146" s="33"/>
    </row>
    <row r="147" spans="6:14" x14ac:dyDescent="0.25">
      <c r="F147" s="30"/>
      <c r="G147" s="31"/>
      <c r="H147" s="38"/>
      <c r="I147" s="32"/>
      <c r="J147" s="32"/>
      <c r="K147" s="27"/>
      <c r="L147" s="11" t="str">
        <f>IF(F147&lt;&gt;"",IF(COUNTIF(tb_consultas[codConsulta],F147)&gt;0,COUNTIF(tb_consultas[codConsulta],F147),IF(COUNTIF(tb_procedimientos[codProcedimiento],F147),COUNTIF(tb_procedimientos[codProcedimiento],F147),IF(COUNTIF(tb_medicamentos[codTecnologiaSalud],F147)&gt;0,SUMIF(tb_medicamentos[codTecnologiaSalud],F147,tb_medicamentos[cantidadMedicamento]),IF(COUNTIF(tb_otrosservicios[codTecnologiaSalud],F147)&gt;0,SUMIF(tb_otrosservicios[codTecnologiaSalud],F147,tb_otrosservicios[cantidadOS]),)))),"")</f>
        <v/>
      </c>
      <c r="M147" s="26" t="str">
        <f>IF(F147&lt;&gt;"",IF(COUNTIF(tb_consultas[codConsulta],F147)&gt;0,SUMIF(tb_consultas[codConsulta],F147,tb_consultas[vrServicio]),IF(COUNTIF(tb_procedimientos[codProcedimiento],F147),SUMIF(tb_procedimientos[codProcedimiento],F147,tb_procedimientos[vrServicio]),IF(COUNTIF(tb_medicamentos[codTecnologiaSalud],F147)&gt;0,SUMIF(tb_medicamentos[codTecnologiaSalud],F147,tb_medicamentos[vrServicio]),IF(COUNTIF(tb_otrosservicios[codTecnologiaSalud],F147)&gt;0,SUMIF(tb_otrosservicios[codTecnologiaSalud],F147,tb_otrosservicios[vrServicio]),)))),"")</f>
        <v/>
      </c>
      <c r="N147" s="33"/>
    </row>
    <row r="148" spans="6:14" x14ac:dyDescent="0.25">
      <c r="F148" s="30"/>
      <c r="G148" s="31"/>
      <c r="H148" s="38"/>
      <c r="I148" s="32"/>
      <c r="J148" s="32"/>
      <c r="K148" s="27"/>
      <c r="L148" s="11" t="str">
        <f>IF(F148&lt;&gt;"",IF(COUNTIF(tb_consultas[codConsulta],F148)&gt;0,COUNTIF(tb_consultas[codConsulta],F148),IF(COUNTIF(tb_procedimientos[codProcedimiento],F148),COUNTIF(tb_procedimientos[codProcedimiento],F148),IF(COUNTIF(tb_medicamentos[codTecnologiaSalud],F148)&gt;0,SUMIF(tb_medicamentos[codTecnologiaSalud],F148,tb_medicamentos[cantidadMedicamento]),IF(COUNTIF(tb_otrosservicios[codTecnologiaSalud],F148)&gt;0,SUMIF(tb_otrosservicios[codTecnologiaSalud],F148,tb_otrosservicios[cantidadOS]),)))),"")</f>
        <v/>
      </c>
      <c r="M148" s="26" t="str">
        <f>IF(F148&lt;&gt;"",IF(COUNTIF(tb_consultas[codConsulta],F148)&gt;0,SUMIF(tb_consultas[codConsulta],F148,tb_consultas[vrServicio]),IF(COUNTIF(tb_procedimientos[codProcedimiento],F148),SUMIF(tb_procedimientos[codProcedimiento],F148,tb_procedimientos[vrServicio]),IF(COUNTIF(tb_medicamentos[codTecnologiaSalud],F148)&gt;0,SUMIF(tb_medicamentos[codTecnologiaSalud],F148,tb_medicamentos[vrServicio]),IF(COUNTIF(tb_otrosservicios[codTecnologiaSalud],F148)&gt;0,SUMIF(tb_otrosservicios[codTecnologiaSalud],F148,tb_otrosservicios[vrServicio]),)))),"")</f>
        <v/>
      </c>
      <c r="N148" s="33"/>
    </row>
    <row r="149" spans="6:14" x14ac:dyDescent="0.25">
      <c r="F149" s="30"/>
      <c r="G149" s="31"/>
      <c r="H149" s="38"/>
      <c r="I149" s="32"/>
      <c r="J149" s="32"/>
      <c r="K149" s="27"/>
      <c r="L149" s="11" t="str">
        <f>IF(F149&lt;&gt;"",IF(COUNTIF(tb_consultas[codConsulta],F149)&gt;0,COUNTIF(tb_consultas[codConsulta],F149),IF(COUNTIF(tb_procedimientos[codProcedimiento],F149),COUNTIF(tb_procedimientos[codProcedimiento],F149),IF(COUNTIF(tb_medicamentos[codTecnologiaSalud],F149)&gt;0,SUMIF(tb_medicamentos[codTecnologiaSalud],F149,tb_medicamentos[cantidadMedicamento]),IF(COUNTIF(tb_otrosservicios[codTecnologiaSalud],F149)&gt;0,SUMIF(tb_otrosservicios[codTecnologiaSalud],F149,tb_otrosservicios[cantidadOS]),)))),"")</f>
        <v/>
      </c>
      <c r="M149" s="26" t="str">
        <f>IF(F149&lt;&gt;"",IF(COUNTIF(tb_consultas[codConsulta],F149)&gt;0,SUMIF(tb_consultas[codConsulta],F149,tb_consultas[vrServicio]),IF(COUNTIF(tb_procedimientos[codProcedimiento],F149),SUMIF(tb_procedimientos[codProcedimiento],F149,tb_procedimientos[vrServicio]),IF(COUNTIF(tb_medicamentos[codTecnologiaSalud],F149)&gt;0,SUMIF(tb_medicamentos[codTecnologiaSalud],F149,tb_medicamentos[vrServicio]),IF(COUNTIF(tb_otrosservicios[codTecnologiaSalud],F149)&gt;0,SUMIF(tb_otrosservicios[codTecnologiaSalud],F149,tb_otrosservicios[vrServicio]),)))),"")</f>
        <v/>
      </c>
      <c r="N149" s="33"/>
    </row>
    <row r="150" spans="6:14" x14ac:dyDescent="0.25">
      <c r="F150" s="30"/>
      <c r="G150" s="31"/>
      <c r="H150" s="38"/>
      <c r="I150" s="32"/>
      <c r="J150" s="32"/>
      <c r="K150" s="27"/>
      <c r="L150" s="11" t="str">
        <f>IF(F150&lt;&gt;"",IF(COUNTIF(tb_consultas[codConsulta],F150)&gt;0,COUNTIF(tb_consultas[codConsulta],F150),IF(COUNTIF(tb_procedimientos[codProcedimiento],F150),COUNTIF(tb_procedimientos[codProcedimiento],F150),IF(COUNTIF(tb_medicamentos[codTecnologiaSalud],F150)&gt;0,SUMIF(tb_medicamentos[codTecnologiaSalud],F150,tb_medicamentos[cantidadMedicamento]),IF(COUNTIF(tb_otrosservicios[codTecnologiaSalud],F150)&gt;0,SUMIF(tb_otrosservicios[codTecnologiaSalud],F150,tb_otrosservicios[cantidadOS]),)))),"")</f>
        <v/>
      </c>
      <c r="M150" s="26" t="str">
        <f>IF(F150&lt;&gt;"",IF(COUNTIF(tb_consultas[codConsulta],F150)&gt;0,SUMIF(tb_consultas[codConsulta],F150,tb_consultas[vrServicio]),IF(COUNTIF(tb_procedimientos[codProcedimiento],F150),SUMIF(tb_procedimientos[codProcedimiento],F150,tb_procedimientos[vrServicio]),IF(COUNTIF(tb_medicamentos[codTecnologiaSalud],F150)&gt;0,SUMIF(tb_medicamentos[codTecnologiaSalud],F150,tb_medicamentos[vrServicio]),IF(COUNTIF(tb_otrosservicios[codTecnologiaSalud],F150)&gt;0,SUMIF(tb_otrosservicios[codTecnologiaSalud],F150,tb_otrosservicios[vrServicio]),)))),"")</f>
        <v/>
      </c>
      <c r="N150" s="33"/>
    </row>
    <row r="151" spans="6:14" x14ac:dyDescent="0.25">
      <c r="F151" s="30"/>
      <c r="G151" s="31"/>
      <c r="H151" s="38"/>
      <c r="I151" s="32"/>
      <c r="J151" s="32"/>
      <c r="K151" s="27"/>
      <c r="L151" s="11" t="str">
        <f>IF(F151&lt;&gt;"",IF(COUNTIF(tb_consultas[codConsulta],F151)&gt;0,COUNTIF(tb_consultas[codConsulta],F151),IF(COUNTIF(tb_procedimientos[codProcedimiento],F151),COUNTIF(tb_procedimientos[codProcedimiento],F151),IF(COUNTIF(tb_medicamentos[codTecnologiaSalud],F151)&gt;0,SUMIF(tb_medicamentos[codTecnologiaSalud],F151,tb_medicamentos[cantidadMedicamento]),IF(COUNTIF(tb_otrosservicios[codTecnologiaSalud],F151)&gt;0,SUMIF(tb_otrosservicios[codTecnologiaSalud],F151,tb_otrosservicios[cantidadOS]),)))),"")</f>
        <v/>
      </c>
      <c r="M151" s="26" t="str">
        <f>IF(F151&lt;&gt;"",IF(COUNTIF(tb_consultas[codConsulta],F151)&gt;0,SUMIF(tb_consultas[codConsulta],F151,tb_consultas[vrServicio]),IF(COUNTIF(tb_procedimientos[codProcedimiento],F151),SUMIF(tb_procedimientos[codProcedimiento],F151,tb_procedimientos[vrServicio]),IF(COUNTIF(tb_medicamentos[codTecnologiaSalud],F151)&gt;0,SUMIF(tb_medicamentos[codTecnologiaSalud],F151,tb_medicamentos[vrServicio]),IF(COUNTIF(tb_otrosservicios[codTecnologiaSalud],F151)&gt;0,SUMIF(tb_otrosservicios[codTecnologiaSalud],F151,tb_otrosservicios[vrServicio]),)))),"")</f>
        <v/>
      </c>
      <c r="N151" s="33"/>
    </row>
    <row r="152" spans="6:14" x14ac:dyDescent="0.25">
      <c r="F152" s="30"/>
      <c r="G152" s="31"/>
      <c r="H152" s="38"/>
      <c r="I152" s="32"/>
      <c r="J152" s="32"/>
      <c r="K152" s="27"/>
      <c r="L152" s="11" t="str">
        <f>IF(F152&lt;&gt;"",IF(COUNTIF(tb_consultas[codConsulta],F152)&gt;0,COUNTIF(tb_consultas[codConsulta],F152),IF(COUNTIF(tb_procedimientos[codProcedimiento],F152),COUNTIF(tb_procedimientos[codProcedimiento],F152),IF(COUNTIF(tb_medicamentos[codTecnologiaSalud],F152)&gt;0,SUMIF(tb_medicamentos[codTecnologiaSalud],F152,tb_medicamentos[cantidadMedicamento]),IF(COUNTIF(tb_otrosservicios[codTecnologiaSalud],F152)&gt;0,SUMIF(tb_otrosservicios[codTecnologiaSalud],F152,tb_otrosservicios[cantidadOS]),)))),"")</f>
        <v/>
      </c>
      <c r="M152" s="26" t="str">
        <f>IF(F152&lt;&gt;"",IF(COUNTIF(tb_consultas[codConsulta],F152)&gt;0,SUMIF(tb_consultas[codConsulta],F152,tb_consultas[vrServicio]),IF(COUNTIF(tb_procedimientos[codProcedimiento],F152),SUMIF(tb_procedimientos[codProcedimiento],F152,tb_procedimientos[vrServicio]),IF(COUNTIF(tb_medicamentos[codTecnologiaSalud],F152)&gt;0,SUMIF(tb_medicamentos[codTecnologiaSalud],F152,tb_medicamentos[vrServicio]),IF(COUNTIF(tb_otrosservicios[codTecnologiaSalud],F152)&gt;0,SUMIF(tb_otrosservicios[codTecnologiaSalud],F152,tb_otrosservicios[vrServicio]),)))),"")</f>
        <v/>
      </c>
      <c r="N152" s="33"/>
    </row>
    <row r="153" spans="6:14" x14ac:dyDescent="0.25">
      <c r="F153" s="30"/>
      <c r="G153" s="31"/>
      <c r="H153" s="38"/>
      <c r="I153" s="32"/>
      <c r="J153" s="32"/>
      <c r="K153" s="27"/>
      <c r="L153" s="11" t="str">
        <f>IF(F153&lt;&gt;"",IF(COUNTIF(tb_consultas[codConsulta],F153)&gt;0,COUNTIF(tb_consultas[codConsulta],F153),IF(COUNTIF(tb_procedimientos[codProcedimiento],F153),COUNTIF(tb_procedimientos[codProcedimiento],F153),IF(COUNTIF(tb_medicamentos[codTecnologiaSalud],F153)&gt;0,SUMIF(tb_medicamentos[codTecnologiaSalud],F153,tb_medicamentos[cantidadMedicamento]),IF(COUNTIF(tb_otrosservicios[codTecnologiaSalud],F153)&gt;0,SUMIF(tb_otrosservicios[codTecnologiaSalud],F153,tb_otrosservicios[cantidadOS]),)))),"")</f>
        <v/>
      </c>
      <c r="M153" s="26" t="str">
        <f>IF(F153&lt;&gt;"",IF(COUNTIF(tb_consultas[codConsulta],F153)&gt;0,SUMIF(tb_consultas[codConsulta],F153,tb_consultas[vrServicio]),IF(COUNTIF(tb_procedimientos[codProcedimiento],F153),SUMIF(tb_procedimientos[codProcedimiento],F153,tb_procedimientos[vrServicio]),IF(COUNTIF(tb_medicamentos[codTecnologiaSalud],F153)&gt;0,SUMIF(tb_medicamentos[codTecnologiaSalud],F153,tb_medicamentos[vrServicio]),IF(COUNTIF(tb_otrosservicios[codTecnologiaSalud],F153)&gt;0,SUMIF(tb_otrosservicios[codTecnologiaSalud],F153,tb_otrosservicios[vrServicio]),)))),"")</f>
        <v/>
      </c>
      <c r="N153" s="33"/>
    </row>
    <row r="154" spans="6:14" x14ac:dyDescent="0.25">
      <c r="F154" s="30"/>
      <c r="G154" s="31"/>
      <c r="H154" s="38"/>
      <c r="I154" s="32"/>
      <c r="J154" s="32"/>
      <c r="K154" s="27"/>
      <c r="L154" s="11" t="str">
        <f>IF(F154&lt;&gt;"",IF(COUNTIF(tb_consultas[codConsulta],F154)&gt;0,COUNTIF(tb_consultas[codConsulta],F154),IF(COUNTIF(tb_procedimientos[codProcedimiento],F154),COUNTIF(tb_procedimientos[codProcedimiento],F154),IF(COUNTIF(tb_medicamentos[codTecnologiaSalud],F154)&gt;0,SUMIF(tb_medicamentos[codTecnologiaSalud],F154,tb_medicamentos[cantidadMedicamento]),IF(COUNTIF(tb_otrosservicios[codTecnologiaSalud],F154)&gt;0,SUMIF(tb_otrosservicios[codTecnologiaSalud],F154,tb_otrosservicios[cantidadOS]),)))),"")</f>
        <v/>
      </c>
      <c r="M154" s="26" t="str">
        <f>IF(F154&lt;&gt;"",IF(COUNTIF(tb_consultas[codConsulta],F154)&gt;0,SUMIF(tb_consultas[codConsulta],F154,tb_consultas[vrServicio]),IF(COUNTIF(tb_procedimientos[codProcedimiento],F154),SUMIF(tb_procedimientos[codProcedimiento],F154,tb_procedimientos[vrServicio]),IF(COUNTIF(tb_medicamentos[codTecnologiaSalud],F154)&gt;0,SUMIF(tb_medicamentos[codTecnologiaSalud],F154,tb_medicamentos[vrServicio]),IF(COUNTIF(tb_otrosservicios[codTecnologiaSalud],F154)&gt;0,SUMIF(tb_otrosservicios[codTecnologiaSalud],F154,tb_otrosservicios[vrServicio]),)))),"")</f>
        <v/>
      </c>
      <c r="N154" s="33"/>
    </row>
    <row r="155" spans="6:14" x14ac:dyDescent="0.25">
      <c r="F155" s="30"/>
      <c r="G155" s="31"/>
      <c r="H155" s="38"/>
      <c r="I155" s="32"/>
      <c r="J155" s="32"/>
      <c r="K155" s="27"/>
      <c r="L155" s="11" t="str">
        <f>IF(F155&lt;&gt;"",IF(COUNTIF(tb_consultas[codConsulta],F155)&gt;0,COUNTIF(tb_consultas[codConsulta],F155),IF(COUNTIF(tb_procedimientos[codProcedimiento],F155),COUNTIF(tb_procedimientos[codProcedimiento],F155),IF(COUNTIF(tb_medicamentos[codTecnologiaSalud],F155)&gt;0,SUMIF(tb_medicamentos[codTecnologiaSalud],F155,tb_medicamentos[cantidadMedicamento]),IF(COUNTIF(tb_otrosservicios[codTecnologiaSalud],F155)&gt;0,SUMIF(tb_otrosservicios[codTecnologiaSalud],F155,tb_otrosservicios[cantidadOS]),)))),"")</f>
        <v/>
      </c>
      <c r="M155" s="26" t="str">
        <f>IF(F155&lt;&gt;"",IF(COUNTIF(tb_consultas[codConsulta],F155)&gt;0,SUMIF(tb_consultas[codConsulta],F155,tb_consultas[vrServicio]),IF(COUNTIF(tb_procedimientos[codProcedimiento],F155),SUMIF(tb_procedimientos[codProcedimiento],F155,tb_procedimientos[vrServicio]),IF(COUNTIF(tb_medicamentos[codTecnologiaSalud],F155)&gt;0,SUMIF(tb_medicamentos[codTecnologiaSalud],F155,tb_medicamentos[vrServicio]),IF(COUNTIF(tb_otrosservicios[codTecnologiaSalud],F155)&gt;0,SUMIF(tb_otrosservicios[codTecnologiaSalud],F155,tb_otrosservicios[vrServicio]),)))),"")</f>
        <v/>
      </c>
      <c r="N155" s="33"/>
    </row>
    <row r="156" spans="6:14" x14ac:dyDescent="0.25">
      <c r="F156" s="30"/>
      <c r="G156" s="31"/>
      <c r="H156" s="38"/>
      <c r="I156" s="32"/>
      <c r="J156" s="32"/>
      <c r="K156" s="27"/>
      <c r="L156" s="11" t="str">
        <f>IF(F156&lt;&gt;"",IF(COUNTIF(tb_consultas[codConsulta],F156)&gt;0,COUNTIF(tb_consultas[codConsulta],F156),IF(COUNTIF(tb_procedimientos[codProcedimiento],F156),COUNTIF(tb_procedimientos[codProcedimiento],F156),IF(COUNTIF(tb_medicamentos[codTecnologiaSalud],F156)&gt;0,SUMIF(tb_medicamentos[codTecnologiaSalud],F156,tb_medicamentos[cantidadMedicamento]),IF(COUNTIF(tb_otrosservicios[codTecnologiaSalud],F156)&gt;0,SUMIF(tb_otrosservicios[codTecnologiaSalud],F156,tb_otrosservicios[cantidadOS]),)))),"")</f>
        <v/>
      </c>
      <c r="M156" s="26" t="str">
        <f>IF(F156&lt;&gt;"",IF(COUNTIF(tb_consultas[codConsulta],F156)&gt;0,SUMIF(tb_consultas[codConsulta],F156,tb_consultas[vrServicio]),IF(COUNTIF(tb_procedimientos[codProcedimiento],F156),SUMIF(tb_procedimientos[codProcedimiento],F156,tb_procedimientos[vrServicio]),IF(COUNTIF(tb_medicamentos[codTecnologiaSalud],F156)&gt;0,SUMIF(tb_medicamentos[codTecnologiaSalud],F156,tb_medicamentos[vrServicio]),IF(COUNTIF(tb_otrosservicios[codTecnologiaSalud],F156)&gt;0,SUMIF(tb_otrosservicios[codTecnologiaSalud],F156,tb_otrosservicios[vrServicio]),)))),"")</f>
        <v/>
      </c>
      <c r="N156" s="33"/>
    </row>
    <row r="157" spans="6:14" x14ac:dyDescent="0.25">
      <c r="F157" s="30"/>
      <c r="G157" s="31"/>
      <c r="H157" s="38"/>
      <c r="I157" s="32"/>
      <c r="J157" s="32"/>
      <c r="K157" s="27"/>
      <c r="L157" s="11" t="str">
        <f>IF(F157&lt;&gt;"",IF(COUNTIF(tb_consultas[codConsulta],F157)&gt;0,COUNTIF(tb_consultas[codConsulta],F157),IF(COUNTIF(tb_procedimientos[codProcedimiento],F157),COUNTIF(tb_procedimientos[codProcedimiento],F157),IF(COUNTIF(tb_medicamentos[codTecnologiaSalud],F157)&gt;0,SUMIF(tb_medicamentos[codTecnologiaSalud],F157,tb_medicamentos[cantidadMedicamento]),IF(COUNTIF(tb_otrosservicios[codTecnologiaSalud],F157)&gt;0,SUMIF(tb_otrosservicios[codTecnologiaSalud],F157,tb_otrosservicios[cantidadOS]),)))),"")</f>
        <v/>
      </c>
      <c r="M157" s="26" t="str">
        <f>IF(F157&lt;&gt;"",IF(COUNTIF(tb_consultas[codConsulta],F157)&gt;0,SUMIF(tb_consultas[codConsulta],F157,tb_consultas[vrServicio]),IF(COUNTIF(tb_procedimientos[codProcedimiento],F157),SUMIF(tb_procedimientos[codProcedimiento],F157,tb_procedimientos[vrServicio]),IF(COUNTIF(tb_medicamentos[codTecnologiaSalud],F157)&gt;0,SUMIF(tb_medicamentos[codTecnologiaSalud],F157,tb_medicamentos[vrServicio]),IF(COUNTIF(tb_otrosservicios[codTecnologiaSalud],F157)&gt;0,SUMIF(tb_otrosservicios[codTecnologiaSalud],F157,tb_otrosservicios[vrServicio]),)))),"")</f>
        <v/>
      </c>
      <c r="N157" s="33"/>
    </row>
    <row r="158" spans="6:14" x14ac:dyDescent="0.25">
      <c r="F158" s="30"/>
      <c r="G158" s="31"/>
      <c r="H158" s="38"/>
      <c r="I158" s="32"/>
      <c r="J158" s="32"/>
      <c r="K158" s="27"/>
      <c r="L158" s="11" t="str">
        <f>IF(F158&lt;&gt;"",IF(COUNTIF(tb_consultas[codConsulta],F158)&gt;0,COUNTIF(tb_consultas[codConsulta],F158),IF(COUNTIF(tb_procedimientos[codProcedimiento],F158),COUNTIF(tb_procedimientos[codProcedimiento],F158),IF(COUNTIF(tb_medicamentos[codTecnologiaSalud],F158)&gt;0,SUMIF(tb_medicamentos[codTecnologiaSalud],F158,tb_medicamentos[cantidadMedicamento]),IF(COUNTIF(tb_otrosservicios[codTecnologiaSalud],F158)&gt;0,SUMIF(tb_otrosservicios[codTecnologiaSalud],F158,tb_otrosservicios[cantidadOS]),)))),"")</f>
        <v/>
      </c>
      <c r="M158" s="26" t="str">
        <f>IF(F158&lt;&gt;"",IF(COUNTIF(tb_consultas[codConsulta],F158)&gt;0,SUMIF(tb_consultas[codConsulta],F158,tb_consultas[vrServicio]),IF(COUNTIF(tb_procedimientos[codProcedimiento],F158),SUMIF(tb_procedimientos[codProcedimiento],F158,tb_procedimientos[vrServicio]),IF(COUNTIF(tb_medicamentos[codTecnologiaSalud],F158)&gt;0,SUMIF(tb_medicamentos[codTecnologiaSalud],F158,tb_medicamentos[vrServicio]),IF(COUNTIF(tb_otrosservicios[codTecnologiaSalud],F158)&gt;0,SUMIF(tb_otrosservicios[codTecnologiaSalud],F158,tb_otrosservicios[vrServicio]),)))),"")</f>
        <v/>
      </c>
      <c r="N158" s="33"/>
    </row>
    <row r="159" spans="6:14" x14ac:dyDescent="0.25">
      <c r="F159" s="30"/>
      <c r="G159" s="31"/>
      <c r="H159" s="38"/>
      <c r="I159" s="32"/>
      <c r="J159" s="32"/>
      <c r="K159" s="27"/>
      <c r="L159" s="11" t="str">
        <f>IF(F159&lt;&gt;"",IF(COUNTIF(tb_consultas[codConsulta],F159)&gt;0,COUNTIF(tb_consultas[codConsulta],F159),IF(COUNTIF(tb_procedimientos[codProcedimiento],F159),COUNTIF(tb_procedimientos[codProcedimiento],F159),IF(COUNTIF(tb_medicamentos[codTecnologiaSalud],F159)&gt;0,SUMIF(tb_medicamentos[codTecnologiaSalud],F159,tb_medicamentos[cantidadMedicamento]),IF(COUNTIF(tb_otrosservicios[codTecnologiaSalud],F159)&gt;0,SUMIF(tb_otrosservicios[codTecnologiaSalud],F159,tb_otrosservicios[cantidadOS]),)))),"")</f>
        <v/>
      </c>
      <c r="M159" s="26" t="str">
        <f>IF(F159&lt;&gt;"",IF(COUNTIF(tb_consultas[codConsulta],F159)&gt;0,SUMIF(tb_consultas[codConsulta],F159,tb_consultas[vrServicio]),IF(COUNTIF(tb_procedimientos[codProcedimiento],F159),SUMIF(tb_procedimientos[codProcedimiento],F159,tb_procedimientos[vrServicio]),IF(COUNTIF(tb_medicamentos[codTecnologiaSalud],F159)&gt;0,SUMIF(tb_medicamentos[codTecnologiaSalud],F159,tb_medicamentos[vrServicio]),IF(COUNTIF(tb_otrosservicios[codTecnologiaSalud],F159)&gt;0,SUMIF(tb_otrosservicios[codTecnologiaSalud],F159,tb_otrosservicios[vrServicio]),)))),"")</f>
        <v/>
      </c>
      <c r="N159" s="33"/>
    </row>
    <row r="160" spans="6:14" x14ac:dyDescent="0.25">
      <c r="F160" s="30"/>
      <c r="G160" s="31"/>
      <c r="H160" s="38"/>
      <c r="I160" s="32"/>
      <c r="J160" s="32"/>
      <c r="K160" s="27"/>
      <c r="L160" s="11" t="str">
        <f>IF(F160&lt;&gt;"",IF(COUNTIF(tb_consultas[codConsulta],F160)&gt;0,COUNTIF(tb_consultas[codConsulta],F160),IF(COUNTIF(tb_procedimientos[codProcedimiento],F160),COUNTIF(tb_procedimientos[codProcedimiento],F160),IF(COUNTIF(tb_medicamentos[codTecnologiaSalud],F160)&gt;0,SUMIF(tb_medicamentos[codTecnologiaSalud],F160,tb_medicamentos[cantidadMedicamento]),IF(COUNTIF(tb_otrosservicios[codTecnologiaSalud],F160)&gt;0,SUMIF(tb_otrosservicios[codTecnologiaSalud],F160,tb_otrosservicios[cantidadOS]),)))),"")</f>
        <v/>
      </c>
      <c r="M160" s="26" t="str">
        <f>IF(F160&lt;&gt;"",IF(COUNTIF(tb_consultas[codConsulta],F160)&gt;0,SUMIF(tb_consultas[codConsulta],F160,tb_consultas[vrServicio]),IF(COUNTIF(tb_procedimientos[codProcedimiento],F160),SUMIF(tb_procedimientos[codProcedimiento],F160,tb_procedimientos[vrServicio]),IF(COUNTIF(tb_medicamentos[codTecnologiaSalud],F160)&gt;0,SUMIF(tb_medicamentos[codTecnologiaSalud],F160,tb_medicamentos[vrServicio]),IF(COUNTIF(tb_otrosservicios[codTecnologiaSalud],F160)&gt;0,SUMIF(tb_otrosservicios[codTecnologiaSalud],F160,tb_otrosservicios[vrServicio]),)))),"")</f>
        <v/>
      </c>
      <c r="N160" s="33"/>
    </row>
    <row r="161" spans="6:14" x14ac:dyDescent="0.25">
      <c r="F161" s="30"/>
      <c r="G161" s="31"/>
      <c r="H161" s="38"/>
      <c r="I161" s="32"/>
      <c r="J161" s="32"/>
      <c r="K161" s="27"/>
      <c r="L161" s="11" t="str">
        <f>IF(F161&lt;&gt;"",IF(COUNTIF(tb_consultas[codConsulta],F161)&gt;0,COUNTIF(tb_consultas[codConsulta],F161),IF(COUNTIF(tb_procedimientos[codProcedimiento],F161),COUNTIF(tb_procedimientos[codProcedimiento],F161),IF(COUNTIF(tb_medicamentos[codTecnologiaSalud],F161)&gt;0,SUMIF(tb_medicamentos[codTecnologiaSalud],F161,tb_medicamentos[cantidadMedicamento]),IF(COUNTIF(tb_otrosservicios[codTecnologiaSalud],F161)&gt;0,SUMIF(tb_otrosservicios[codTecnologiaSalud],F161,tb_otrosservicios[cantidadOS]),)))),"")</f>
        <v/>
      </c>
      <c r="M161" s="26" t="str">
        <f>IF(F161&lt;&gt;"",IF(COUNTIF(tb_consultas[codConsulta],F161)&gt;0,SUMIF(tb_consultas[codConsulta],F161,tb_consultas[vrServicio]),IF(COUNTIF(tb_procedimientos[codProcedimiento],F161),SUMIF(tb_procedimientos[codProcedimiento],F161,tb_procedimientos[vrServicio]),IF(COUNTIF(tb_medicamentos[codTecnologiaSalud],F161)&gt;0,SUMIF(tb_medicamentos[codTecnologiaSalud],F161,tb_medicamentos[vrServicio]),IF(COUNTIF(tb_otrosservicios[codTecnologiaSalud],F161)&gt;0,SUMIF(tb_otrosservicios[codTecnologiaSalud],F161,tb_otrosservicios[vrServicio]),)))),"")</f>
        <v/>
      </c>
      <c r="N161" s="33"/>
    </row>
    <row r="162" spans="6:14" x14ac:dyDescent="0.25">
      <c r="F162" s="30"/>
      <c r="G162" s="31"/>
      <c r="H162" s="38"/>
      <c r="I162" s="32"/>
      <c r="J162" s="32"/>
      <c r="K162" s="27"/>
      <c r="L162" s="11" t="str">
        <f>IF(F162&lt;&gt;"",IF(COUNTIF(tb_consultas[codConsulta],F162)&gt;0,COUNTIF(tb_consultas[codConsulta],F162),IF(COUNTIF(tb_procedimientos[codProcedimiento],F162),COUNTIF(tb_procedimientos[codProcedimiento],F162),IF(COUNTIF(tb_medicamentos[codTecnologiaSalud],F162)&gt;0,SUMIF(tb_medicamentos[codTecnologiaSalud],F162,tb_medicamentos[cantidadMedicamento]),IF(COUNTIF(tb_otrosservicios[codTecnologiaSalud],F162)&gt;0,SUMIF(tb_otrosservicios[codTecnologiaSalud],F162,tb_otrosservicios[cantidadOS]),)))),"")</f>
        <v/>
      </c>
      <c r="M162" s="26" t="str">
        <f>IF(F162&lt;&gt;"",IF(COUNTIF(tb_consultas[codConsulta],F162)&gt;0,SUMIF(tb_consultas[codConsulta],F162,tb_consultas[vrServicio]),IF(COUNTIF(tb_procedimientos[codProcedimiento],F162),SUMIF(tb_procedimientos[codProcedimiento],F162,tb_procedimientos[vrServicio]),IF(COUNTIF(tb_medicamentos[codTecnologiaSalud],F162)&gt;0,SUMIF(tb_medicamentos[codTecnologiaSalud],F162,tb_medicamentos[vrServicio]),IF(COUNTIF(tb_otrosservicios[codTecnologiaSalud],F162)&gt;0,SUMIF(tb_otrosservicios[codTecnologiaSalud],F162,tb_otrosservicios[vrServicio]),)))),"")</f>
        <v/>
      </c>
      <c r="N162" s="33"/>
    </row>
    <row r="163" spans="6:14" x14ac:dyDescent="0.25">
      <c r="F163" s="30"/>
      <c r="G163" s="31"/>
      <c r="H163" s="38"/>
      <c r="I163" s="32"/>
      <c r="J163" s="32"/>
      <c r="K163" s="27"/>
      <c r="L163" s="11" t="str">
        <f>IF(F163&lt;&gt;"",IF(COUNTIF(tb_consultas[codConsulta],F163)&gt;0,COUNTIF(tb_consultas[codConsulta],F163),IF(COUNTIF(tb_procedimientos[codProcedimiento],F163),COUNTIF(tb_procedimientos[codProcedimiento],F163),IF(COUNTIF(tb_medicamentos[codTecnologiaSalud],F163)&gt;0,SUMIF(tb_medicamentos[codTecnologiaSalud],F163,tb_medicamentos[cantidadMedicamento]),IF(COUNTIF(tb_otrosservicios[codTecnologiaSalud],F163)&gt;0,SUMIF(tb_otrosservicios[codTecnologiaSalud],F163,tb_otrosservicios[cantidadOS]),)))),"")</f>
        <v/>
      </c>
      <c r="M163" s="26" t="str">
        <f>IF(F163&lt;&gt;"",IF(COUNTIF(tb_consultas[codConsulta],F163)&gt;0,SUMIF(tb_consultas[codConsulta],F163,tb_consultas[vrServicio]),IF(COUNTIF(tb_procedimientos[codProcedimiento],F163),SUMIF(tb_procedimientos[codProcedimiento],F163,tb_procedimientos[vrServicio]),IF(COUNTIF(tb_medicamentos[codTecnologiaSalud],F163)&gt;0,SUMIF(tb_medicamentos[codTecnologiaSalud],F163,tb_medicamentos[vrServicio]),IF(COUNTIF(tb_otrosservicios[codTecnologiaSalud],F163)&gt;0,SUMIF(tb_otrosservicios[codTecnologiaSalud],F163,tb_otrosservicios[vrServicio]),)))),"")</f>
        <v/>
      </c>
      <c r="N163" s="33"/>
    </row>
    <row r="164" spans="6:14" x14ac:dyDescent="0.25">
      <c r="F164" s="30"/>
      <c r="G164" s="31"/>
      <c r="H164" s="38"/>
      <c r="I164" s="32"/>
      <c r="J164" s="32"/>
      <c r="K164" s="27"/>
      <c r="L164" s="11" t="str">
        <f>IF(F164&lt;&gt;"",IF(COUNTIF(tb_consultas[codConsulta],F164)&gt;0,COUNTIF(tb_consultas[codConsulta],F164),IF(COUNTIF(tb_procedimientos[codProcedimiento],F164),COUNTIF(tb_procedimientos[codProcedimiento],F164),IF(COUNTIF(tb_medicamentos[codTecnologiaSalud],F164)&gt;0,SUMIF(tb_medicamentos[codTecnologiaSalud],F164,tb_medicamentos[cantidadMedicamento]),IF(COUNTIF(tb_otrosservicios[codTecnologiaSalud],F164)&gt;0,SUMIF(tb_otrosservicios[codTecnologiaSalud],F164,tb_otrosservicios[cantidadOS]),)))),"")</f>
        <v/>
      </c>
      <c r="M164" s="26" t="str">
        <f>IF(F164&lt;&gt;"",IF(COUNTIF(tb_consultas[codConsulta],F164)&gt;0,SUMIF(tb_consultas[codConsulta],F164,tb_consultas[vrServicio]),IF(COUNTIF(tb_procedimientos[codProcedimiento],F164),SUMIF(tb_procedimientos[codProcedimiento],F164,tb_procedimientos[vrServicio]),IF(COUNTIF(tb_medicamentos[codTecnologiaSalud],F164)&gt;0,SUMIF(tb_medicamentos[codTecnologiaSalud],F164,tb_medicamentos[vrServicio]),IF(COUNTIF(tb_otrosservicios[codTecnologiaSalud],F164)&gt;0,SUMIF(tb_otrosservicios[codTecnologiaSalud],F164,tb_otrosservicios[vrServicio]),)))),"")</f>
        <v/>
      </c>
      <c r="N164" s="33"/>
    </row>
    <row r="165" spans="6:14" x14ac:dyDescent="0.25">
      <c r="F165" s="30"/>
      <c r="G165" s="31"/>
      <c r="H165" s="38"/>
      <c r="I165" s="32"/>
      <c r="J165" s="32"/>
      <c r="K165" s="27"/>
      <c r="L165" s="11" t="str">
        <f>IF(F165&lt;&gt;"",IF(COUNTIF(tb_consultas[codConsulta],F165)&gt;0,COUNTIF(tb_consultas[codConsulta],F165),IF(COUNTIF(tb_procedimientos[codProcedimiento],F165),COUNTIF(tb_procedimientos[codProcedimiento],F165),IF(COUNTIF(tb_medicamentos[codTecnologiaSalud],F165)&gt;0,SUMIF(tb_medicamentos[codTecnologiaSalud],F165,tb_medicamentos[cantidadMedicamento]),IF(COUNTIF(tb_otrosservicios[codTecnologiaSalud],F165)&gt;0,SUMIF(tb_otrosservicios[codTecnologiaSalud],F165,tb_otrosservicios[cantidadOS]),)))),"")</f>
        <v/>
      </c>
      <c r="M165" s="26" t="str">
        <f>IF(F165&lt;&gt;"",IF(COUNTIF(tb_consultas[codConsulta],F165)&gt;0,SUMIF(tb_consultas[codConsulta],F165,tb_consultas[vrServicio]),IF(COUNTIF(tb_procedimientos[codProcedimiento],F165),SUMIF(tb_procedimientos[codProcedimiento],F165,tb_procedimientos[vrServicio]),IF(COUNTIF(tb_medicamentos[codTecnologiaSalud],F165)&gt;0,SUMIF(tb_medicamentos[codTecnologiaSalud],F165,tb_medicamentos[vrServicio]),IF(COUNTIF(tb_otrosservicios[codTecnologiaSalud],F165)&gt;0,SUMIF(tb_otrosservicios[codTecnologiaSalud],F165,tb_otrosservicios[vrServicio]),)))),"")</f>
        <v/>
      </c>
      <c r="N165" s="33"/>
    </row>
    <row r="166" spans="6:14" x14ac:dyDescent="0.25">
      <c r="F166" s="30"/>
      <c r="G166" s="31"/>
      <c r="H166" s="38"/>
      <c r="I166" s="32"/>
      <c r="J166" s="32"/>
      <c r="K166" s="27"/>
      <c r="L166" s="11" t="str">
        <f>IF(F166&lt;&gt;"",IF(COUNTIF(tb_consultas[codConsulta],F166)&gt;0,COUNTIF(tb_consultas[codConsulta],F166),IF(COUNTIF(tb_procedimientos[codProcedimiento],F166),COUNTIF(tb_procedimientos[codProcedimiento],F166),IF(COUNTIF(tb_medicamentos[codTecnologiaSalud],F166)&gt;0,SUMIF(tb_medicamentos[codTecnologiaSalud],F166,tb_medicamentos[cantidadMedicamento]),IF(COUNTIF(tb_otrosservicios[codTecnologiaSalud],F166)&gt;0,SUMIF(tb_otrosservicios[codTecnologiaSalud],F166,tb_otrosservicios[cantidadOS]),)))),"")</f>
        <v/>
      </c>
      <c r="M166" s="26" t="str">
        <f>IF(F166&lt;&gt;"",IF(COUNTIF(tb_consultas[codConsulta],F166)&gt;0,SUMIF(tb_consultas[codConsulta],F166,tb_consultas[vrServicio]),IF(COUNTIF(tb_procedimientos[codProcedimiento],F166),SUMIF(tb_procedimientos[codProcedimiento],F166,tb_procedimientos[vrServicio]),IF(COUNTIF(tb_medicamentos[codTecnologiaSalud],F166)&gt;0,SUMIF(tb_medicamentos[codTecnologiaSalud],F166,tb_medicamentos[vrServicio]),IF(COUNTIF(tb_otrosservicios[codTecnologiaSalud],F166)&gt;0,SUMIF(tb_otrosservicios[codTecnologiaSalud],F166,tb_otrosservicios[vrServicio]),)))),"")</f>
        <v/>
      </c>
      <c r="N166" s="33"/>
    </row>
    <row r="167" spans="6:14" x14ac:dyDescent="0.25">
      <c r="F167" s="30"/>
      <c r="G167" s="31"/>
      <c r="H167" s="38"/>
      <c r="I167" s="32"/>
      <c r="J167" s="32"/>
      <c r="K167" s="27"/>
      <c r="L167" s="11" t="str">
        <f>IF(F167&lt;&gt;"",IF(COUNTIF(tb_consultas[codConsulta],F167)&gt;0,COUNTIF(tb_consultas[codConsulta],F167),IF(COUNTIF(tb_procedimientos[codProcedimiento],F167),COUNTIF(tb_procedimientos[codProcedimiento],F167),IF(COUNTIF(tb_medicamentos[codTecnologiaSalud],F167)&gt;0,SUMIF(tb_medicamentos[codTecnologiaSalud],F167,tb_medicamentos[cantidadMedicamento]),IF(COUNTIF(tb_otrosservicios[codTecnologiaSalud],F167)&gt;0,SUMIF(tb_otrosservicios[codTecnologiaSalud],F167,tb_otrosservicios[cantidadOS]),)))),"")</f>
        <v/>
      </c>
      <c r="M167" s="26" t="str">
        <f>IF(F167&lt;&gt;"",IF(COUNTIF(tb_consultas[codConsulta],F167)&gt;0,SUMIF(tb_consultas[codConsulta],F167,tb_consultas[vrServicio]),IF(COUNTIF(tb_procedimientos[codProcedimiento],F167),SUMIF(tb_procedimientos[codProcedimiento],F167,tb_procedimientos[vrServicio]),IF(COUNTIF(tb_medicamentos[codTecnologiaSalud],F167)&gt;0,SUMIF(tb_medicamentos[codTecnologiaSalud],F167,tb_medicamentos[vrServicio]),IF(COUNTIF(tb_otrosservicios[codTecnologiaSalud],F167)&gt;0,SUMIF(tb_otrosservicios[codTecnologiaSalud],F167,tb_otrosservicios[vrServicio]),)))),"")</f>
        <v/>
      </c>
      <c r="N167" s="33"/>
    </row>
    <row r="168" spans="6:14" x14ac:dyDescent="0.25">
      <c r="F168" s="30"/>
      <c r="G168" s="31"/>
      <c r="H168" s="38"/>
      <c r="I168" s="32"/>
      <c r="J168" s="32"/>
      <c r="K168" s="27"/>
      <c r="L168" s="11" t="str">
        <f>IF(F168&lt;&gt;"",IF(COUNTIF(tb_consultas[codConsulta],F168)&gt;0,COUNTIF(tb_consultas[codConsulta],F168),IF(COUNTIF(tb_procedimientos[codProcedimiento],F168),COUNTIF(tb_procedimientos[codProcedimiento],F168),IF(COUNTIF(tb_medicamentos[codTecnologiaSalud],F168)&gt;0,SUMIF(tb_medicamentos[codTecnologiaSalud],F168,tb_medicamentos[cantidadMedicamento]),IF(COUNTIF(tb_otrosservicios[codTecnologiaSalud],F168)&gt;0,SUMIF(tb_otrosservicios[codTecnologiaSalud],F168,tb_otrosservicios[cantidadOS]),)))),"")</f>
        <v/>
      </c>
      <c r="M168" s="26" t="str">
        <f>IF(F168&lt;&gt;"",IF(COUNTIF(tb_consultas[codConsulta],F168)&gt;0,SUMIF(tb_consultas[codConsulta],F168,tb_consultas[vrServicio]),IF(COUNTIF(tb_procedimientos[codProcedimiento],F168),SUMIF(tb_procedimientos[codProcedimiento],F168,tb_procedimientos[vrServicio]),IF(COUNTIF(tb_medicamentos[codTecnologiaSalud],F168)&gt;0,SUMIF(tb_medicamentos[codTecnologiaSalud],F168,tb_medicamentos[vrServicio]),IF(COUNTIF(tb_otrosservicios[codTecnologiaSalud],F168)&gt;0,SUMIF(tb_otrosservicios[codTecnologiaSalud],F168,tb_otrosservicios[vrServicio]),)))),"")</f>
        <v/>
      </c>
      <c r="N168" s="33"/>
    </row>
    <row r="169" spans="6:14" x14ac:dyDescent="0.25">
      <c r="F169" s="30"/>
      <c r="G169" s="31"/>
      <c r="H169" s="38"/>
      <c r="I169" s="32"/>
      <c r="J169" s="32"/>
      <c r="K169" s="27"/>
      <c r="L169" s="11" t="str">
        <f>IF(F169&lt;&gt;"",IF(COUNTIF(tb_consultas[codConsulta],F169)&gt;0,COUNTIF(tb_consultas[codConsulta],F169),IF(COUNTIF(tb_procedimientos[codProcedimiento],F169),COUNTIF(tb_procedimientos[codProcedimiento],F169),IF(COUNTIF(tb_medicamentos[codTecnologiaSalud],F169)&gt;0,SUMIF(tb_medicamentos[codTecnologiaSalud],F169,tb_medicamentos[cantidadMedicamento]),IF(COUNTIF(tb_otrosservicios[codTecnologiaSalud],F169)&gt;0,SUMIF(tb_otrosservicios[codTecnologiaSalud],F169,tb_otrosservicios[cantidadOS]),)))),"")</f>
        <v/>
      </c>
      <c r="M169" s="26" t="str">
        <f>IF(F169&lt;&gt;"",IF(COUNTIF(tb_consultas[codConsulta],F169)&gt;0,SUMIF(tb_consultas[codConsulta],F169,tb_consultas[vrServicio]),IF(COUNTIF(tb_procedimientos[codProcedimiento],F169),SUMIF(tb_procedimientos[codProcedimiento],F169,tb_procedimientos[vrServicio]),IF(COUNTIF(tb_medicamentos[codTecnologiaSalud],F169)&gt;0,SUMIF(tb_medicamentos[codTecnologiaSalud],F169,tb_medicamentos[vrServicio]),IF(COUNTIF(tb_otrosservicios[codTecnologiaSalud],F169)&gt;0,SUMIF(tb_otrosservicios[codTecnologiaSalud],F169,tb_otrosservicios[vrServicio]),)))),"")</f>
        <v/>
      </c>
      <c r="N169" s="33"/>
    </row>
    <row r="170" spans="6:14" x14ac:dyDescent="0.25">
      <c r="F170" s="30"/>
      <c r="G170" s="31"/>
      <c r="H170" s="38"/>
      <c r="I170" s="32"/>
      <c r="J170" s="32"/>
      <c r="K170" s="27"/>
      <c r="L170" s="11" t="str">
        <f>IF(F170&lt;&gt;"",IF(COUNTIF(tb_consultas[codConsulta],F170)&gt;0,COUNTIF(tb_consultas[codConsulta],F170),IF(COUNTIF(tb_procedimientos[codProcedimiento],F170),COUNTIF(tb_procedimientos[codProcedimiento],F170),IF(COUNTIF(tb_medicamentos[codTecnologiaSalud],F170)&gt;0,SUMIF(tb_medicamentos[codTecnologiaSalud],F170,tb_medicamentos[cantidadMedicamento]),IF(COUNTIF(tb_otrosservicios[codTecnologiaSalud],F170)&gt;0,SUMIF(tb_otrosservicios[codTecnologiaSalud],F170,tb_otrosservicios[cantidadOS]),)))),"")</f>
        <v/>
      </c>
      <c r="M170" s="26" t="str">
        <f>IF(F170&lt;&gt;"",IF(COUNTIF(tb_consultas[codConsulta],F170)&gt;0,SUMIF(tb_consultas[codConsulta],F170,tb_consultas[vrServicio]),IF(COUNTIF(tb_procedimientos[codProcedimiento],F170),SUMIF(tb_procedimientos[codProcedimiento],F170,tb_procedimientos[vrServicio]),IF(COUNTIF(tb_medicamentos[codTecnologiaSalud],F170)&gt;0,SUMIF(tb_medicamentos[codTecnologiaSalud],F170,tb_medicamentos[vrServicio]),IF(COUNTIF(tb_otrosservicios[codTecnologiaSalud],F170)&gt;0,SUMIF(tb_otrosservicios[codTecnologiaSalud],F170,tb_otrosservicios[vrServicio]),)))),"")</f>
        <v/>
      </c>
      <c r="N170" s="33"/>
    </row>
    <row r="171" spans="6:14" x14ac:dyDescent="0.25">
      <c r="F171" s="30"/>
      <c r="G171" s="31"/>
      <c r="H171" s="38"/>
      <c r="I171" s="32"/>
      <c r="J171" s="32"/>
      <c r="K171" s="27"/>
      <c r="L171" s="11" t="str">
        <f>IF(F171&lt;&gt;"",IF(COUNTIF(tb_consultas[codConsulta],F171)&gt;0,COUNTIF(tb_consultas[codConsulta],F171),IF(COUNTIF(tb_procedimientos[codProcedimiento],F171),COUNTIF(tb_procedimientos[codProcedimiento],F171),IF(COUNTIF(tb_medicamentos[codTecnologiaSalud],F171)&gt;0,SUMIF(tb_medicamentos[codTecnologiaSalud],F171,tb_medicamentos[cantidadMedicamento]),IF(COUNTIF(tb_otrosservicios[codTecnologiaSalud],F171)&gt;0,SUMIF(tb_otrosservicios[codTecnologiaSalud],F171,tb_otrosservicios[cantidadOS]),)))),"")</f>
        <v/>
      </c>
      <c r="M171" s="26" t="str">
        <f>IF(F171&lt;&gt;"",IF(COUNTIF(tb_consultas[codConsulta],F171)&gt;0,SUMIF(tb_consultas[codConsulta],F171,tb_consultas[vrServicio]),IF(COUNTIF(tb_procedimientos[codProcedimiento],F171),SUMIF(tb_procedimientos[codProcedimiento],F171,tb_procedimientos[vrServicio]),IF(COUNTIF(tb_medicamentos[codTecnologiaSalud],F171)&gt;0,SUMIF(tb_medicamentos[codTecnologiaSalud],F171,tb_medicamentos[vrServicio]),IF(COUNTIF(tb_otrosservicios[codTecnologiaSalud],F171)&gt;0,SUMIF(tb_otrosservicios[codTecnologiaSalud],F171,tb_otrosservicios[vrServicio]),)))),"")</f>
        <v/>
      </c>
      <c r="N171" s="33"/>
    </row>
    <row r="172" spans="6:14" x14ac:dyDescent="0.25">
      <c r="F172" s="30"/>
      <c r="G172" s="31"/>
      <c r="H172" s="38"/>
      <c r="I172" s="32"/>
      <c r="J172" s="32"/>
      <c r="K172" s="27"/>
      <c r="L172" s="11" t="str">
        <f>IF(F172&lt;&gt;"",IF(COUNTIF(tb_consultas[codConsulta],F172)&gt;0,COUNTIF(tb_consultas[codConsulta],F172),IF(COUNTIF(tb_procedimientos[codProcedimiento],F172),COUNTIF(tb_procedimientos[codProcedimiento],F172),IF(COUNTIF(tb_medicamentos[codTecnologiaSalud],F172)&gt;0,SUMIF(tb_medicamentos[codTecnologiaSalud],F172,tb_medicamentos[cantidadMedicamento]),IF(COUNTIF(tb_otrosservicios[codTecnologiaSalud],F172)&gt;0,SUMIF(tb_otrosservicios[codTecnologiaSalud],F172,tb_otrosservicios[cantidadOS]),)))),"")</f>
        <v/>
      </c>
      <c r="M172" s="26" t="str">
        <f>IF(F172&lt;&gt;"",IF(COUNTIF(tb_consultas[codConsulta],F172)&gt;0,SUMIF(tb_consultas[codConsulta],F172,tb_consultas[vrServicio]),IF(COUNTIF(tb_procedimientos[codProcedimiento],F172),SUMIF(tb_procedimientos[codProcedimiento],F172,tb_procedimientos[vrServicio]),IF(COUNTIF(tb_medicamentos[codTecnologiaSalud],F172)&gt;0,SUMIF(tb_medicamentos[codTecnologiaSalud],F172,tb_medicamentos[vrServicio]),IF(COUNTIF(tb_otrosservicios[codTecnologiaSalud],F172)&gt;0,SUMIF(tb_otrosservicios[codTecnologiaSalud],F172,tb_otrosservicios[vrServicio]),)))),"")</f>
        <v/>
      </c>
      <c r="N172" s="33"/>
    </row>
    <row r="173" spans="6:14" x14ac:dyDescent="0.25">
      <c r="F173" s="30"/>
      <c r="G173" s="31"/>
      <c r="H173" s="38"/>
      <c r="I173" s="32"/>
      <c r="J173" s="32"/>
      <c r="K173" s="27"/>
      <c r="L173" s="11" t="str">
        <f>IF(F173&lt;&gt;"",IF(COUNTIF(tb_consultas[codConsulta],F173)&gt;0,COUNTIF(tb_consultas[codConsulta],F173),IF(COUNTIF(tb_procedimientos[codProcedimiento],F173),COUNTIF(tb_procedimientos[codProcedimiento],F173),IF(COUNTIF(tb_medicamentos[codTecnologiaSalud],F173)&gt;0,SUMIF(tb_medicamentos[codTecnologiaSalud],F173,tb_medicamentos[cantidadMedicamento]),IF(COUNTIF(tb_otrosservicios[codTecnologiaSalud],F173)&gt;0,SUMIF(tb_otrosservicios[codTecnologiaSalud],F173,tb_otrosservicios[cantidadOS]),)))),"")</f>
        <v/>
      </c>
      <c r="M173" s="26" t="str">
        <f>IF(F173&lt;&gt;"",IF(COUNTIF(tb_consultas[codConsulta],F173)&gt;0,SUMIF(tb_consultas[codConsulta],F173,tb_consultas[vrServicio]),IF(COUNTIF(tb_procedimientos[codProcedimiento],F173),SUMIF(tb_procedimientos[codProcedimiento],F173,tb_procedimientos[vrServicio]),IF(COUNTIF(tb_medicamentos[codTecnologiaSalud],F173)&gt;0,SUMIF(tb_medicamentos[codTecnologiaSalud],F173,tb_medicamentos[vrServicio]),IF(COUNTIF(tb_otrosservicios[codTecnologiaSalud],F173)&gt;0,SUMIF(tb_otrosservicios[codTecnologiaSalud],F173,tb_otrosservicios[vrServicio]),)))),"")</f>
        <v/>
      </c>
      <c r="N173" s="33"/>
    </row>
    <row r="174" spans="6:14" x14ac:dyDescent="0.25">
      <c r="F174" s="30"/>
      <c r="G174" s="31"/>
      <c r="H174" s="38"/>
      <c r="I174" s="32"/>
      <c r="J174" s="32"/>
      <c r="K174" s="27"/>
      <c r="L174" s="11" t="str">
        <f>IF(F174&lt;&gt;"",IF(COUNTIF(tb_consultas[codConsulta],F174)&gt;0,COUNTIF(tb_consultas[codConsulta],F174),IF(COUNTIF(tb_procedimientos[codProcedimiento],F174),COUNTIF(tb_procedimientos[codProcedimiento],F174),IF(COUNTIF(tb_medicamentos[codTecnologiaSalud],F174)&gt;0,SUMIF(tb_medicamentos[codTecnologiaSalud],F174,tb_medicamentos[cantidadMedicamento]),IF(COUNTIF(tb_otrosservicios[codTecnologiaSalud],F174)&gt;0,SUMIF(tb_otrosservicios[codTecnologiaSalud],F174,tb_otrosservicios[cantidadOS]),)))),"")</f>
        <v/>
      </c>
      <c r="M174" s="26" t="str">
        <f>IF(F174&lt;&gt;"",IF(COUNTIF(tb_consultas[codConsulta],F174)&gt;0,SUMIF(tb_consultas[codConsulta],F174,tb_consultas[vrServicio]),IF(COUNTIF(tb_procedimientos[codProcedimiento],F174),SUMIF(tb_procedimientos[codProcedimiento],F174,tb_procedimientos[vrServicio]),IF(COUNTIF(tb_medicamentos[codTecnologiaSalud],F174)&gt;0,SUMIF(tb_medicamentos[codTecnologiaSalud],F174,tb_medicamentos[vrServicio]),IF(COUNTIF(tb_otrosservicios[codTecnologiaSalud],F174)&gt;0,SUMIF(tb_otrosservicios[codTecnologiaSalud],F174,tb_otrosservicios[vrServicio]),)))),"")</f>
        <v/>
      </c>
      <c r="N174" s="33"/>
    </row>
    <row r="175" spans="6:14" x14ac:dyDescent="0.25">
      <c r="F175" s="30"/>
      <c r="G175" s="31"/>
      <c r="H175" s="38"/>
      <c r="I175" s="32"/>
      <c r="J175" s="32"/>
      <c r="K175" s="27"/>
      <c r="L175" s="11" t="str">
        <f>IF(F175&lt;&gt;"",IF(COUNTIF(tb_consultas[codConsulta],F175)&gt;0,COUNTIF(tb_consultas[codConsulta],F175),IF(COUNTIF(tb_procedimientos[codProcedimiento],F175),COUNTIF(tb_procedimientos[codProcedimiento],F175),IF(COUNTIF(tb_medicamentos[codTecnologiaSalud],F175)&gt;0,SUMIF(tb_medicamentos[codTecnologiaSalud],F175,tb_medicamentos[cantidadMedicamento]),IF(COUNTIF(tb_otrosservicios[codTecnologiaSalud],F175)&gt;0,SUMIF(tb_otrosservicios[codTecnologiaSalud],F175,tb_otrosservicios[cantidadOS]),)))),"")</f>
        <v/>
      </c>
      <c r="M175" s="26" t="str">
        <f>IF(F175&lt;&gt;"",IF(COUNTIF(tb_consultas[codConsulta],F175)&gt;0,SUMIF(tb_consultas[codConsulta],F175,tb_consultas[vrServicio]),IF(COUNTIF(tb_procedimientos[codProcedimiento],F175),SUMIF(tb_procedimientos[codProcedimiento],F175,tb_procedimientos[vrServicio]),IF(COUNTIF(tb_medicamentos[codTecnologiaSalud],F175)&gt;0,SUMIF(tb_medicamentos[codTecnologiaSalud],F175,tb_medicamentos[vrServicio]),IF(COUNTIF(tb_otrosservicios[codTecnologiaSalud],F175)&gt;0,SUMIF(tb_otrosservicios[codTecnologiaSalud],F175,tb_otrosservicios[vrServicio]),)))),"")</f>
        <v/>
      </c>
      <c r="N175" s="33"/>
    </row>
    <row r="176" spans="6:14" x14ac:dyDescent="0.25">
      <c r="F176" s="30"/>
      <c r="G176" s="31"/>
      <c r="H176" s="38"/>
      <c r="I176" s="32"/>
      <c r="J176" s="32"/>
      <c r="K176" s="27"/>
      <c r="L176" s="11" t="str">
        <f>IF(F176&lt;&gt;"",IF(COUNTIF(tb_consultas[codConsulta],F176)&gt;0,COUNTIF(tb_consultas[codConsulta],F176),IF(COUNTIF(tb_procedimientos[codProcedimiento],F176),COUNTIF(tb_procedimientos[codProcedimiento],F176),IF(COUNTIF(tb_medicamentos[codTecnologiaSalud],F176)&gt;0,SUMIF(tb_medicamentos[codTecnologiaSalud],F176,tb_medicamentos[cantidadMedicamento]),IF(COUNTIF(tb_otrosservicios[codTecnologiaSalud],F176)&gt;0,SUMIF(tb_otrosservicios[codTecnologiaSalud],F176,tb_otrosservicios[cantidadOS]),)))),"")</f>
        <v/>
      </c>
      <c r="M176" s="26" t="str">
        <f>IF(F176&lt;&gt;"",IF(COUNTIF(tb_consultas[codConsulta],F176)&gt;0,SUMIF(tb_consultas[codConsulta],F176,tb_consultas[vrServicio]),IF(COUNTIF(tb_procedimientos[codProcedimiento],F176),SUMIF(tb_procedimientos[codProcedimiento],F176,tb_procedimientos[vrServicio]),IF(COUNTIF(tb_medicamentos[codTecnologiaSalud],F176)&gt;0,SUMIF(tb_medicamentos[codTecnologiaSalud],F176,tb_medicamentos[vrServicio]),IF(COUNTIF(tb_otrosservicios[codTecnologiaSalud],F176)&gt;0,SUMIF(tb_otrosservicios[codTecnologiaSalud],F176,tb_otrosservicios[vrServicio]),)))),"")</f>
        <v/>
      </c>
      <c r="N176" s="33"/>
    </row>
    <row r="177" spans="6:14" x14ac:dyDescent="0.25">
      <c r="F177" s="30"/>
      <c r="G177" s="31"/>
      <c r="H177" s="38"/>
      <c r="I177" s="32"/>
      <c r="J177" s="32"/>
      <c r="K177" s="27"/>
      <c r="L177" s="11" t="str">
        <f>IF(F177&lt;&gt;"",IF(COUNTIF(tb_consultas[codConsulta],F177)&gt;0,COUNTIF(tb_consultas[codConsulta],F177),IF(COUNTIF(tb_procedimientos[codProcedimiento],F177),COUNTIF(tb_procedimientos[codProcedimiento],F177),IF(COUNTIF(tb_medicamentos[codTecnologiaSalud],F177)&gt;0,SUMIF(tb_medicamentos[codTecnologiaSalud],F177,tb_medicamentos[cantidadMedicamento]),IF(COUNTIF(tb_otrosservicios[codTecnologiaSalud],F177)&gt;0,SUMIF(tb_otrosservicios[codTecnologiaSalud],F177,tb_otrosservicios[cantidadOS]),)))),"")</f>
        <v/>
      </c>
      <c r="M177" s="26" t="str">
        <f>IF(F177&lt;&gt;"",IF(COUNTIF(tb_consultas[codConsulta],F177)&gt;0,SUMIF(tb_consultas[codConsulta],F177,tb_consultas[vrServicio]),IF(COUNTIF(tb_procedimientos[codProcedimiento],F177),SUMIF(tb_procedimientos[codProcedimiento],F177,tb_procedimientos[vrServicio]),IF(COUNTIF(tb_medicamentos[codTecnologiaSalud],F177)&gt;0,SUMIF(tb_medicamentos[codTecnologiaSalud],F177,tb_medicamentos[vrServicio]),IF(COUNTIF(tb_otrosservicios[codTecnologiaSalud],F177)&gt;0,SUMIF(tb_otrosservicios[codTecnologiaSalud],F177,tb_otrosservicios[vrServicio]),)))),"")</f>
        <v/>
      </c>
      <c r="N177" s="33"/>
    </row>
    <row r="178" spans="6:14" x14ac:dyDescent="0.25">
      <c r="F178" s="30"/>
      <c r="G178" s="31"/>
      <c r="H178" s="38"/>
      <c r="I178" s="32"/>
      <c r="J178" s="32"/>
      <c r="K178" s="27"/>
      <c r="L178" s="11" t="str">
        <f>IF(F178&lt;&gt;"",IF(COUNTIF(tb_consultas[codConsulta],F178)&gt;0,COUNTIF(tb_consultas[codConsulta],F178),IF(COUNTIF(tb_procedimientos[codProcedimiento],F178),COUNTIF(tb_procedimientos[codProcedimiento],F178),IF(COUNTIF(tb_medicamentos[codTecnologiaSalud],F178)&gt;0,SUMIF(tb_medicamentos[codTecnologiaSalud],F178,tb_medicamentos[cantidadMedicamento]),IF(COUNTIF(tb_otrosservicios[codTecnologiaSalud],F178)&gt;0,SUMIF(tb_otrosservicios[codTecnologiaSalud],F178,tb_otrosservicios[cantidadOS]),)))),"")</f>
        <v/>
      </c>
      <c r="M178" s="26" t="str">
        <f>IF(F178&lt;&gt;"",IF(COUNTIF(tb_consultas[codConsulta],F178)&gt;0,SUMIF(tb_consultas[codConsulta],F178,tb_consultas[vrServicio]),IF(COUNTIF(tb_procedimientos[codProcedimiento],F178),SUMIF(tb_procedimientos[codProcedimiento],F178,tb_procedimientos[vrServicio]),IF(COUNTIF(tb_medicamentos[codTecnologiaSalud],F178)&gt;0,SUMIF(tb_medicamentos[codTecnologiaSalud],F178,tb_medicamentos[vrServicio]),IF(COUNTIF(tb_otrosservicios[codTecnologiaSalud],F178)&gt;0,SUMIF(tb_otrosservicios[codTecnologiaSalud],F178,tb_otrosservicios[vrServicio]),)))),"")</f>
        <v/>
      </c>
      <c r="N178" s="33"/>
    </row>
    <row r="179" spans="6:14" x14ac:dyDescent="0.25">
      <c r="F179" s="30"/>
      <c r="G179" s="31"/>
      <c r="H179" s="38"/>
      <c r="I179" s="32"/>
      <c r="J179" s="32"/>
      <c r="K179" s="27"/>
      <c r="L179" s="11" t="str">
        <f>IF(F179&lt;&gt;"",IF(COUNTIF(tb_consultas[codConsulta],F179)&gt;0,COUNTIF(tb_consultas[codConsulta],F179),IF(COUNTIF(tb_procedimientos[codProcedimiento],F179),COUNTIF(tb_procedimientos[codProcedimiento],F179),IF(COUNTIF(tb_medicamentos[codTecnologiaSalud],F179)&gt;0,SUMIF(tb_medicamentos[codTecnologiaSalud],F179,tb_medicamentos[cantidadMedicamento]),IF(COUNTIF(tb_otrosservicios[codTecnologiaSalud],F179)&gt;0,SUMIF(tb_otrosservicios[codTecnologiaSalud],F179,tb_otrosservicios[cantidadOS]),)))),"")</f>
        <v/>
      </c>
      <c r="M179" s="26" t="str">
        <f>IF(F179&lt;&gt;"",IF(COUNTIF(tb_consultas[codConsulta],F179)&gt;0,SUMIF(tb_consultas[codConsulta],F179,tb_consultas[vrServicio]),IF(COUNTIF(tb_procedimientos[codProcedimiento],F179),SUMIF(tb_procedimientos[codProcedimiento],F179,tb_procedimientos[vrServicio]),IF(COUNTIF(tb_medicamentos[codTecnologiaSalud],F179)&gt;0,SUMIF(tb_medicamentos[codTecnologiaSalud],F179,tb_medicamentos[vrServicio]),IF(COUNTIF(tb_otrosservicios[codTecnologiaSalud],F179)&gt;0,SUMIF(tb_otrosservicios[codTecnologiaSalud],F179,tb_otrosservicios[vrServicio]),)))),"")</f>
        <v/>
      </c>
      <c r="N179" s="33"/>
    </row>
    <row r="180" spans="6:14" x14ac:dyDescent="0.25">
      <c r="F180" s="30"/>
      <c r="G180" s="31"/>
      <c r="H180" s="38"/>
      <c r="I180" s="32"/>
      <c r="J180" s="32"/>
      <c r="K180" s="27"/>
      <c r="L180" s="11" t="str">
        <f>IF(F180&lt;&gt;"",IF(COUNTIF(tb_consultas[codConsulta],F180)&gt;0,COUNTIF(tb_consultas[codConsulta],F180),IF(COUNTIF(tb_procedimientos[codProcedimiento],F180),COUNTIF(tb_procedimientos[codProcedimiento],F180),IF(COUNTIF(tb_medicamentos[codTecnologiaSalud],F180)&gt;0,SUMIF(tb_medicamentos[codTecnologiaSalud],F180,tb_medicamentos[cantidadMedicamento]),IF(COUNTIF(tb_otrosservicios[codTecnologiaSalud],F180)&gt;0,SUMIF(tb_otrosservicios[codTecnologiaSalud],F180,tb_otrosservicios[cantidadOS]),)))),"")</f>
        <v/>
      </c>
      <c r="M180" s="26" t="str">
        <f>IF(F180&lt;&gt;"",IF(COUNTIF(tb_consultas[codConsulta],F180)&gt;0,SUMIF(tb_consultas[codConsulta],F180,tb_consultas[vrServicio]),IF(COUNTIF(tb_procedimientos[codProcedimiento],F180),SUMIF(tb_procedimientos[codProcedimiento],F180,tb_procedimientos[vrServicio]),IF(COUNTIF(tb_medicamentos[codTecnologiaSalud],F180)&gt;0,SUMIF(tb_medicamentos[codTecnologiaSalud],F180,tb_medicamentos[vrServicio]),IF(COUNTIF(tb_otrosservicios[codTecnologiaSalud],F180)&gt;0,SUMIF(tb_otrosservicios[codTecnologiaSalud],F180,tb_otrosservicios[vrServicio]),)))),"")</f>
        <v/>
      </c>
      <c r="N180" s="33"/>
    </row>
    <row r="181" spans="6:14" x14ac:dyDescent="0.25">
      <c r="F181" s="30"/>
      <c r="G181" s="31"/>
      <c r="H181" s="38"/>
      <c r="I181" s="32"/>
      <c r="J181" s="32"/>
      <c r="K181" s="27"/>
      <c r="L181" s="11" t="str">
        <f>IF(F181&lt;&gt;"",IF(COUNTIF(tb_consultas[codConsulta],F181)&gt;0,COUNTIF(tb_consultas[codConsulta],F181),IF(COUNTIF(tb_procedimientos[codProcedimiento],F181),COUNTIF(tb_procedimientos[codProcedimiento],F181),IF(COUNTIF(tb_medicamentos[codTecnologiaSalud],F181)&gt;0,SUMIF(tb_medicamentos[codTecnologiaSalud],F181,tb_medicamentos[cantidadMedicamento]),IF(COUNTIF(tb_otrosservicios[codTecnologiaSalud],F181)&gt;0,SUMIF(tb_otrosservicios[codTecnologiaSalud],F181,tb_otrosservicios[cantidadOS]),)))),"")</f>
        <v/>
      </c>
      <c r="M181" s="26" t="str">
        <f>IF(F181&lt;&gt;"",IF(COUNTIF(tb_consultas[codConsulta],F181)&gt;0,SUMIF(tb_consultas[codConsulta],F181,tb_consultas[vrServicio]),IF(COUNTIF(tb_procedimientos[codProcedimiento],F181),SUMIF(tb_procedimientos[codProcedimiento],F181,tb_procedimientos[vrServicio]),IF(COUNTIF(tb_medicamentos[codTecnologiaSalud],F181)&gt;0,SUMIF(tb_medicamentos[codTecnologiaSalud],F181,tb_medicamentos[vrServicio]),IF(COUNTIF(tb_otrosservicios[codTecnologiaSalud],F181)&gt;0,SUMIF(tb_otrosservicios[codTecnologiaSalud],F181,tb_otrosservicios[vrServicio]),)))),"")</f>
        <v/>
      </c>
      <c r="N181" s="33"/>
    </row>
    <row r="182" spans="6:14" x14ac:dyDescent="0.25">
      <c r="F182" s="30"/>
      <c r="G182" s="31"/>
      <c r="H182" s="38"/>
      <c r="I182" s="32"/>
      <c r="J182" s="32"/>
      <c r="K182" s="27"/>
      <c r="L182" s="11" t="str">
        <f>IF(F182&lt;&gt;"",IF(COUNTIF(tb_consultas[codConsulta],F182)&gt;0,COUNTIF(tb_consultas[codConsulta],F182),IF(COUNTIF(tb_procedimientos[codProcedimiento],F182),COUNTIF(tb_procedimientos[codProcedimiento],F182),IF(COUNTIF(tb_medicamentos[codTecnologiaSalud],F182)&gt;0,SUMIF(tb_medicamentos[codTecnologiaSalud],F182,tb_medicamentos[cantidadMedicamento]),IF(COUNTIF(tb_otrosservicios[codTecnologiaSalud],F182)&gt;0,SUMIF(tb_otrosservicios[codTecnologiaSalud],F182,tb_otrosservicios[cantidadOS]),)))),"")</f>
        <v/>
      </c>
      <c r="M182" s="26" t="str">
        <f>IF(F182&lt;&gt;"",IF(COUNTIF(tb_consultas[codConsulta],F182)&gt;0,SUMIF(tb_consultas[codConsulta],F182,tb_consultas[vrServicio]),IF(COUNTIF(tb_procedimientos[codProcedimiento],F182),SUMIF(tb_procedimientos[codProcedimiento],F182,tb_procedimientos[vrServicio]),IF(COUNTIF(tb_medicamentos[codTecnologiaSalud],F182)&gt;0,SUMIF(tb_medicamentos[codTecnologiaSalud],F182,tb_medicamentos[vrServicio]),IF(COUNTIF(tb_otrosservicios[codTecnologiaSalud],F182)&gt;0,SUMIF(tb_otrosservicios[codTecnologiaSalud],F182,tb_otrosservicios[vrServicio]),)))),"")</f>
        <v/>
      </c>
      <c r="N182" s="33"/>
    </row>
    <row r="183" spans="6:14" x14ac:dyDescent="0.25">
      <c r="F183" s="30"/>
      <c r="G183" s="31"/>
      <c r="H183" s="38"/>
      <c r="I183" s="32"/>
      <c r="J183" s="32"/>
      <c r="K183" s="27"/>
      <c r="L183" s="11" t="str">
        <f>IF(F183&lt;&gt;"",IF(COUNTIF(tb_consultas[codConsulta],F183)&gt;0,COUNTIF(tb_consultas[codConsulta],F183),IF(COUNTIF(tb_procedimientos[codProcedimiento],F183),COUNTIF(tb_procedimientos[codProcedimiento],F183),IF(COUNTIF(tb_medicamentos[codTecnologiaSalud],F183)&gt;0,SUMIF(tb_medicamentos[codTecnologiaSalud],F183,tb_medicamentos[cantidadMedicamento]),IF(COUNTIF(tb_otrosservicios[codTecnologiaSalud],F183)&gt;0,SUMIF(tb_otrosservicios[codTecnologiaSalud],F183,tb_otrosservicios[cantidadOS]),)))),"")</f>
        <v/>
      </c>
      <c r="M183" s="26" t="str">
        <f>IF(F183&lt;&gt;"",IF(COUNTIF(tb_consultas[codConsulta],F183)&gt;0,SUMIF(tb_consultas[codConsulta],F183,tb_consultas[vrServicio]),IF(COUNTIF(tb_procedimientos[codProcedimiento],F183),SUMIF(tb_procedimientos[codProcedimiento],F183,tb_procedimientos[vrServicio]),IF(COUNTIF(tb_medicamentos[codTecnologiaSalud],F183)&gt;0,SUMIF(tb_medicamentos[codTecnologiaSalud],F183,tb_medicamentos[vrServicio]),IF(COUNTIF(tb_otrosservicios[codTecnologiaSalud],F183)&gt;0,SUMIF(tb_otrosservicios[codTecnologiaSalud],F183,tb_otrosservicios[vrServicio]),)))),"")</f>
        <v/>
      </c>
      <c r="N183" s="33"/>
    </row>
    <row r="184" spans="6:14" x14ac:dyDescent="0.25">
      <c r="F184" s="30"/>
      <c r="G184" s="31"/>
      <c r="H184" s="38"/>
      <c r="I184" s="32"/>
      <c r="J184" s="32"/>
      <c r="K184" s="27"/>
      <c r="L184" s="11" t="str">
        <f>IF(F184&lt;&gt;"",IF(COUNTIF(tb_consultas[codConsulta],F184)&gt;0,COUNTIF(tb_consultas[codConsulta],F184),IF(COUNTIF(tb_procedimientos[codProcedimiento],F184),COUNTIF(tb_procedimientos[codProcedimiento],F184),IF(COUNTIF(tb_medicamentos[codTecnologiaSalud],F184)&gt;0,SUMIF(tb_medicamentos[codTecnologiaSalud],F184,tb_medicamentos[cantidadMedicamento]),IF(COUNTIF(tb_otrosservicios[codTecnologiaSalud],F184)&gt;0,SUMIF(tb_otrosservicios[codTecnologiaSalud],F184,tb_otrosservicios[cantidadOS]),)))),"")</f>
        <v/>
      </c>
      <c r="M184" s="26" t="str">
        <f>IF(F184&lt;&gt;"",IF(COUNTIF(tb_consultas[codConsulta],F184)&gt;0,SUMIF(tb_consultas[codConsulta],F184,tb_consultas[vrServicio]),IF(COUNTIF(tb_procedimientos[codProcedimiento],F184),SUMIF(tb_procedimientos[codProcedimiento],F184,tb_procedimientos[vrServicio]),IF(COUNTIF(tb_medicamentos[codTecnologiaSalud],F184)&gt;0,SUMIF(tb_medicamentos[codTecnologiaSalud],F184,tb_medicamentos[vrServicio]),IF(COUNTIF(tb_otrosservicios[codTecnologiaSalud],F184)&gt;0,SUMIF(tb_otrosservicios[codTecnologiaSalud],F184,tb_otrosservicios[vrServicio]),)))),"")</f>
        <v/>
      </c>
      <c r="N184" s="33"/>
    </row>
    <row r="185" spans="6:14" x14ac:dyDescent="0.25">
      <c r="F185" s="30"/>
      <c r="G185" s="31"/>
      <c r="H185" s="38"/>
      <c r="I185" s="32"/>
      <c r="J185" s="32"/>
      <c r="K185" s="27"/>
      <c r="L185" s="11" t="str">
        <f>IF(F185&lt;&gt;"",IF(COUNTIF(tb_consultas[codConsulta],F185)&gt;0,COUNTIF(tb_consultas[codConsulta],F185),IF(COUNTIF(tb_procedimientos[codProcedimiento],F185),COUNTIF(tb_procedimientos[codProcedimiento],F185),IF(COUNTIF(tb_medicamentos[codTecnologiaSalud],F185)&gt;0,SUMIF(tb_medicamentos[codTecnologiaSalud],F185,tb_medicamentos[cantidadMedicamento]),IF(COUNTIF(tb_otrosservicios[codTecnologiaSalud],F185)&gt;0,SUMIF(tb_otrosservicios[codTecnologiaSalud],F185,tb_otrosservicios[cantidadOS]),)))),"")</f>
        <v/>
      </c>
      <c r="M185" s="26" t="str">
        <f>IF(F185&lt;&gt;"",IF(COUNTIF(tb_consultas[codConsulta],F185)&gt;0,SUMIF(tb_consultas[codConsulta],F185,tb_consultas[vrServicio]),IF(COUNTIF(tb_procedimientos[codProcedimiento],F185),SUMIF(tb_procedimientos[codProcedimiento],F185,tb_procedimientos[vrServicio]),IF(COUNTIF(tb_medicamentos[codTecnologiaSalud],F185)&gt;0,SUMIF(tb_medicamentos[codTecnologiaSalud],F185,tb_medicamentos[vrServicio]),IF(COUNTIF(tb_otrosservicios[codTecnologiaSalud],F185)&gt;0,SUMIF(tb_otrosservicios[codTecnologiaSalud],F185,tb_otrosservicios[vrServicio]),)))),"")</f>
        <v/>
      </c>
      <c r="N185" s="33"/>
    </row>
    <row r="186" spans="6:14" x14ac:dyDescent="0.25">
      <c r="F186" s="30"/>
      <c r="G186" s="31"/>
      <c r="H186" s="38"/>
      <c r="I186" s="32"/>
      <c r="J186" s="32"/>
      <c r="K186" s="27"/>
      <c r="L186" s="11" t="str">
        <f>IF(F186&lt;&gt;"",IF(COUNTIF(tb_consultas[codConsulta],F186)&gt;0,COUNTIF(tb_consultas[codConsulta],F186),IF(COUNTIF(tb_procedimientos[codProcedimiento],F186),COUNTIF(tb_procedimientos[codProcedimiento],F186),IF(COUNTIF(tb_medicamentos[codTecnologiaSalud],F186)&gt;0,SUMIF(tb_medicamentos[codTecnologiaSalud],F186,tb_medicamentos[cantidadMedicamento]),IF(COUNTIF(tb_otrosservicios[codTecnologiaSalud],F186)&gt;0,SUMIF(tb_otrosservicios[codTecnologiaSalud],F186,tb_otrosservicios[cantidadOS]),)))),"")</f>
        <v/>
      </c>
      <c r="M186" s="26" t="str">
        <f>IF(F186&lt;&gt;"",IF(COUNTIF(tb_consultas[codConsulta],F186)&gt;0,SUMIF(tb_consultas[codConsulta],F186,tb_consultas[vrServicio]),IF(COUNTIF(tb_procedimientos[codProcedimiento],F186),SUMIF(tb_procedimientos[codProcedimiento],F186,tb_procedimientos[vrServicio]),IF(COUNTIF(tb_medicamentos[codTecnologiaSalud],F186)&gt;0,SUMIF(tb_medicamentos[codTecnologiaSalud],F186,tb_medicamentos[vrServicio]),IF(COUNTIF(tb_otrosservicios[codTecnologiaSalud],F186)&gt;0,SUMIF(tb_otrosservicios[codTecnologiaSalud],F186,tb_otrosservicios[vrServicio]),)))),"")</f>
        <v/>
      </c>
      <c r="N186" s="33"/>
    </row>
    <row r="187" spans="6:14" x14ac:dyDescent="0.25">
      <c r="F187" s="30"/>
      <c r="G187" s="31"/>
      <c r="H187" s="38"/>
      <c r="I187" s="32"/>
      <c r="J187" s="32"/>
      <c r="K187" s="27"/>
      <c r="L187" s="11" t="str">
        <f>IF(F187&lt;&gt;"",IF(COUNTIF(tb_consultas[codConsulta],F187)&gt;0,COUNTIF(tb_consultas[codConsulta],F187),IF(COUNTIF(tb_procedimientos[codProcedimiento],F187),COUNTIF(tb_procedimientos[codProcedimiento],F187),IF(COUNTIF(tb_medicamentos[codTecnologiaSalud],F187)&gt;0,SUMIF(tb_medicamentos[codTecnologiaSalud],F187,tb_medicamentos[cantidadMedicamento]),IF(COUNTIF(tb_otrosservicios[codTecnologiaSalud],F187)&gt;0,SUMIF(tb_otrosservicios[codTecnologiaSalud],F187,tb_otrosservicios[cantidadOS]),)))),"")</f>
        <v/>
      </c>
      <c r="M187" s="26" t="str">
        <f>IF(F187&lt;&gt;"",IF(COUNTIF(tb_consultas[codConsulta],F187)&gt;0,SUMIF(tb_consultas[codConsulta],F187,tb_consultas[vrServicio]),IF(COUNTIF(tb_procedimientos[codProcedimiento],F187),SUMIF(tb_procedimientos[codProcedimiento],F187,tb_procedimientos[vrServicio]),IF(COUNTIF(tb_medicamentos[codTecnologiaSalud],F187)&gt;0,SUMIF(tb_medicamentos[codTecnologiaSalud],F187,tb_medicamentos[vrServicio]),IF(COUNTIF(tb_otrosservicios[codTecnologiaSalud],F187)&gt;0,SUMIF(tb_otrosservicios[codTecnologiaSalud],F187,tb_otrosservicios[vrServicio]),)))),"")</f>
        <v/>
      </c>
      <c r="N187" s="33"/>
    </row>
    <row r="188" spans="6:14" x14ac:dyDescent="0.25">
      <c r="F188" s="30"/>
      <c r="G188" s="31"/>
      <c r="H188" s="38"/>
      <c r="I188" s="32"/>
      <c r="J188" s="32"/>
      <c r="K188" s="27"/>
      <c r="L188" s="11" t="str">
        <f>IF(F188&lt;&gt;"",IF(COUNTIF(tb_consultas[codConsulta],F188)&gt;0,COUNTIF(tb_consultas[codConsulta],F188),IF(COUNTIF(tb_procedimientos[codProcedimiento],F188),COUNTIF(tb_procedimientos[codProcedimiento],F188),IF(COUNTIF(tb_medicamentos[codTecnologiaSalud],F188)&gt;0,SUMIF(tb_medicamentos[codTecnologiaSalud],F188,tb_medicamentos[cantidadMedicamento]),IF(COUNTIF(tb_otrosservicios[codTecnologiaSalud],F188)&gt;0,SUMIF(tb_otrosservicios[codTecnologiaSalud],F188,tb_otrosservicios[cantidadOS]),)))),"")</f>
        <v/>
      </c>
      <c r="M188" s="26" t="str">
        <f>IF(F188&lt;&gt;"",IF(COUNTIF(tb_consultas[codConsulta],F188)&gt;0,SUMIF(tb_consultas[codConsulta],F188,tb_consultas[vrServicio]),IF(COUNTIF(tb_procedimientos[codProcedimiento],F188),SUMIF(tb_procedimientos[codProcedimiento],F188,tb_procedimientos[vrServicio]),IF(COUNTIF(tb_medicamentos[codTecnologiaSalud],F188)&gt;0,SUMIF(tb_medicamentos[codTecnologiaSalud],F188,tb_medicamentos[vrServicio]),IF(COUNTIF(tb_otrosservicios[codTecnologiaSalud],F188)&gt;0,SUMIF(tb_otrosservicios[codTecnologiaSalud],F188,tb_otrosservicios[vrServicio]),)))),"")</f>
        <v/>
      </c>
      <c r="N188" s="33"/>
    </row>
    <row r="189" spans="6:14" x14ac:dyDescent="0.25">
      <c r="F189" s="30"/>
      <c r="G189" s="31"/>
      <c r="H189" s="38"/>
      <c r="I189" s="32"/>
      <c r="J189" s="32"/>
      <c r="K189" s="27"/>
      <c r="L189" s="11" t="str">
        <f>IF(F189&lt;&gt;"",IF(COUNTIF(tb_consultas[codConsulta],F189)&gt;0,COUNTIF(tb_consultas[codConsulta],F189),IF(COUNTIF(tb_procedimientos[codProcedimiento],F189),COUNTIF(tb_procedimientos[codProcedimiento],F189),IF(COUNTIF(tb_medicamentos[codTecnologiaSalud],F189)&gt;0,SUMIF(tb_medicamentos[codTecnologiaSalud],F189,tb_medicamentos[cantidadMedicamento]),IF(COUNTIF(tb_otrosservicios[codTecnologiaSalud],F189)&gt;0,SUMIF(tb_otrosservicios[codTecnologiaSalud],F189,tb_otrosservicios[cantidadOS]),)))),"")</f>
        <v/>
      </c>
      <c r="M189" s="26" t="str">
        <f>IF(F189&lt;&gt;"",IF(COUNTIF(tb_consultas[codConsulta],F189)&gt;0,SUMIF(tb_consultas[codConsulta],F189,tb_consultas[vrServicio]),IF(COUNTIF(tb_procedimientos[codProcedimiento],F189),SUMIF(tb_procedimientos[codProcedimiento],F189,tb_procedimientos[vrServicio]),IF(COUNTIF(tb_medicamentos[codTecnologiaSalud],F189)&gt;0,SUMIF(tb_medicamentos[codTecnologiaSalud],F189,tb_medicamentos[vrServicio]),IF(COUNTIF(tb_otrosservicios[codTecnologiaSalud],F189)&gt;0,SUMIF(tb_otrosservicios[codTecnologiaSalud],F189,tb_otrosservicios[vrServicio]),)))),"")</f>
        <v/>
      </c>
      <c r="N189" s="33"/>
    </row>
    <row r="190" spans="6:14" x14ac:dyDescent="0.25">
      <c r="F190" s="30"/>
      <c r="G190" s="31"/>
      <c r="H190" s="38"/>
      <c r="I190" s="32"/>
      <c r="J190" s="32"/>
      <c r="K190" s="27"/>
      <c r="L190" s="11" t="str">
        <f>IF(F190&lt;&gt;"",IF(COUNTIF(tb_consultas[codConsulta],F190)&gt;0,COUNTIF(tb_consultas[codConsulta],F190),IF(COUNTIF(tb_procedimientos[codProcedimiento],F190),COUNTIF(tb_procedimientos[codProcedimiento],F190),IF(COUNTIF(tb_medicamentos[codTecnologiaSalud],F190)&gt;0,SUMIF(tb_medicamentos[codTecnologiaSalud],F190,tb_medicamentos[cantidadMedicamento]),IF(COUNTIF(tb_otrosservicios[codTecnologiaSalud],F190)&gt;0,SUMIF(tb_otrosservicios[codTecnologiaSalud],F190,tb_otrosservicios[cantidadOS]),)))),"")</f>
        <v/>
      </c>
      <c r="M190" s="26" t="str">
        <f>IF(F190&lt;&gt;"",IF(COUNTIF(tb_consultas[codConsulta],F190)&gt;0,SUMIF(tb_consultas[codConsulta],F190,tb_consultas[vrServicio]),IF(COUNTIF(tb_procedimientos[codProcedimiento],F190),SUMIF(tb_procedimientos[codProcedimiento],F190,tb_procedimientos[vrServicio]),IF(COUNTIF(tb_medicamentos[codTecnologiaSalud],F190)&gt;0,SUMIF(tb_medicamentos[codTecnologiaSalud],F190,tb_medicamentos[vrServicio]),IF(COUNTIF(tb_otrosservicios[codTecnologiaSalud],F190)&gt;0,SUMIF(tb_otrosservicios[codTecnologiaSalud],F190,tb_otrosservicios[vrServicio]),)))),"")</f>
        <v/>
      </c>
      <c r="N190" s="33"/>
    </row>
    <row r="191" spans="6:14" x14ac:dyDescent="0.25">
      <c r="F191" s="30"/>
      <c r="G191" s="31"/>
      <c r="H191" s="38"/>
      <c r="I191" s="32"/>
      <c r="J191" s="32"/>
      <c r="K191" s="27"/>
      <c r="L191" s="11" t="str">
        <f>IF(F191&lt;&gt;"",IF(COUNTIF(tb_consultas[codConsulta],F191)&gt;0,COUNTIF(tb_consultas[codConsulta],F191),IF(COUNTIF(tb_procedimientos[codProcedimiento],F191),COUNTIF(tb_procedimientos[codProcedimiento],F191),IF(COUNTIF(tb_medicamentos[codTecnologiaSalud],F191)&gt;0,SUMIF(tb_medicamentos[codTecnologiaSalud],F191,tb_medicamentos[cantidadMedicamento]),IF(COUNTIF(tb_otrosservicios[codTecnologiaSalud],F191)&gt;0,SUMIF(tb_otrosservicios[codTecnologiaSalud],F191,tb_otrosservicios[cantidadOS]),)))),"")</f>
        <v/>
      </c>
      <c r="M191" s="26" t="str">
        <f>IF(F191&lt;&gt;"",IF(COUNTIF(tb_consultas[codConsulta],F191)&gt;0,SUMIF(tb_consultas[codConsulta],F191,tb_consultas[vrServicio]),IF(COUNTIF(tb_procedimientos[codProcedimiento],F191),SUMIF(tb_procedimientos[codProcedimiento],F191,tb_procedimientos[vrServicio]),IF(COUNTIF(tb_medicamentos[codTecnologiaSalud],F191)&gt;0,SUMIF(tb_medicamentos[codTecnologiaSalud],F191,tb_medicamentos[vrServicio]),IF(COUNTIF(tb_otrosservicios[codTecnologiaSalud],F191)&gt;0,SUMIF(tb_otrosservicios[codTecnologiaSalud],F191,tb_otrosservicios[vrServicio]),)))),"")</f>
        <v/>
      </c>
      <c r="N191" s="33"/>
    </row>
    <row r="192" spans="6:14" x14ac:dyDescent="0.25">
      <c r="F192" s="30"/>
      <c r="G192" s="31"/>
      <c r="H192" s="38"/>
      <c r="I192" s="32"/>
      <c r="J192" s="32"/>
      <c r="K192" s="27"/>
      <c r="L192" s="11" t="str">
        <f>IF(F192&lt;&gt;"",IF(COUNTIF(tb_consultas[codConsulta],F192)&gt;0,COUNTIF(tb_consultas[codConsulta],F192),IF(COUNTIF(tb_procedimientos[codProcedimiento],F192),COUNTIF(tb_procedimientos[codProcedimiento],F192),IF(COUNTIF(tb_medicamentos[codTecnologiaSalud],F192)&gt;0,SUMIF(tb_medicamentos[codTecnologiaSalud],F192,tb_medicamentos[cantidadMedicamento]),IF(COUNTIF(tb_otrosservicios[codTecnologiaSalud],F192)&gt;0,SUMIF(tb_otrosservicios[codTecnologiaSalud],F192,tb_otrosservicios[cantidadOS]),)))),"")</f>
        <v/>
      </c>
      <c r="M192" s="26" t="str">
        <f>IF(F192&lt;&gt;"",IF(COUNTIF(tb_consultas[codConsulta],F192)&gt;0,SUMIF(tb_consultas[codConsulta],F192,tb_consultas[vrServicio]),IF(COUNTIF(tb_procedimientos[codProcedimiento],F192),SUMIF(tb_procedimientos[codProcedimiento],F192,tb_procedimientos[vrServicio]),IF(COUNTIF(tb_medicamentos[codTecnologiaSalud],F192)&gt;0,SUMIF(tb_medicamentos[codTecnologiaSalud],F192,tb_medicamentos[vrServicio]),IF(COUNTIF(tb_otrosservicios[codTecnologiaSalud],F192)&gt;0,SUMIF(tb_otrosservicios[codTecnologiaSalud],F192,tb_otrosservicios[vrServicio]),)))),"")</f>
        <v/>
      </c>
      <c r="N192" s="33"/>
    </row>
    <row r="193" spans="6:14" x14ac:dyDescent="0.25">
      <c r="F193" s="30"/>
      <c r="G193" s="31"/>
      <c r="H193" s="38"/>
      <c r="I193" s="32"/>
      <c r="J193" s="32"/>
      <c r="K193" s="27"/>
      <c r="L193" s="11" t="str">
        <f>IF(F193&lt;&gt;"",IF(COUNTIF(tb_consultas[codConsulta],F193)&gt;0,COUNTIF(tb_consultas[codConsulta],F193),IF(COUNTIF(tb_procedimientos[codProcedimiento],F193),COUNTIF(tb_procedimientos[codProcedimiento],F193),IF(COUNTIF(tb_medicamentos[codTecnologiaSalud],F193)&gt;0,SUMIF(tb_medicamentos[codTecnologiaSalud],F193,tb_medicamentos[cantidadMedicamento]),IF(COUNTIF(tb_otrosservicios[codTecnologiaSalud],F193)&gt;0,SUMIF(tb_otrosservicios[codTecnologiaSalud],F193,tb_otrosservicios[cantidadOS]),)))),"")</f>
        <v/>
      </c>
      <c r="M193" s="26" t="str">
        <f>IF(F193&lt;&gt;"",IF(COUNTIF(tb_consultas[codConsulta],F193)&gt;0,SUMIF(tb_consultas[codConsulta],F193,tb_consultas[vrServicio]),IF(COUNTIF(tb_procedimientos[codProcedimiento],F193),SUMIF(tb_procedimientos[codProcedimiento],F193,tb_procedimientos[vrServicio]),IF(COUNTIF(tb_medicamentos[codTecnologiaSalud],F193)&gt;0,SUMIF(tb_medicamentos[codTecnologiaSalud],F193,tb_medicamentos[vrServicio]),IF(COUNTIF(tb_otrosservicios[codTecnologiaSalud],F193)&gt;0,SUMIF(tb_otrosservicios[codTecnologiaSalud],F193,tb_otrosservicios[vrServicio]),)))),"")</f>
        <v/>
      </c>
      <c r="N193" s="33"/>
    </row>
    <row r="194" spans="6:14" x14ac:dyDescent="0.25">
      <c r="F194" s="30"/>
      <c r="G194" s="31"/>
      <c r="H194" s="38"/>
      <c r="I194" s="32"/>
      <c r="J194" s="32"/>
      <c r="K194" s="27"/>
      <c r="L194" s="11" t="str">
        <f>IF(F194&lt;&gt;"",IF(COUNTIF(tb_consultas[codConsulta],F194)&gt;0,COUNTIF(tb_consultas[codConsulta],F194),IF(COUNTIF(tb_procedimientos[codProcedimiento],F194),COUNTIF(tb_procedimientos[codProcedimiento],F194),IF(COUNTIF(tb_medicamentos[codTecnologiaSalud],F194)&gt;0,SUMIF(tb_medicamentos[codTecnologiaSalud],F194,tb_medicamentos[cantidadMedicamento]),IF(COUNTIF(tb_otrosservicios[codTecnologiaSalud],F194)&gt;0,SUMIF(tb_otrosservicios[codTecnologiaSalud],F194,tb_otrosservicios[cantidadOS]),)))),"")</f>
        <v/>
      </c>
      <c r="M194" s="26" t="str">
        <f>IF(F194&lt;&gt;"",IF(COUNTIF(tb_consultas[codConsulta],F194)&gt;0,SUMIF(tb_consultas[codConsulta],F194,tb_consultas[vrServicio]),IF(COUNTIF(tb_procedimientos[codProcedimiento],F194),SUMIF(tb_procedimientos[codProcedimiento],F194,tb_procedimientos[vrServicio]),IF(COUNTIF(tb_medicamentos[codTecnologiaSalud],F194)&gt;0,SUMIF(tb_medicamentos[codTecnologiaSalud],F194,tb_medicamentos[vrServicio]),IF(COUNTIF(tb_otrosservicios[codTecnologiaSalud],F194)&gt;0,SUMIF(tb_otrosservicios[codTecnologiaSalud],F194,tb_otrosservicios[vrServicio]),)))),"")</f>
        <v/>
      </c>
      <c r="N194" s="33"/>
    </row>
    <row r="195" spans="6:14" x14ac:dyDescent="0.25">
      <c r="F195" s="30"/>
      <c r="G195" s="31"/>
      <c r="H195" s="38"/>
      <c r="I195" s="32"/>
      <c r="J195" s="32"/>
      <c r="K195" s="27"/>
      <c r="L195" s="11" t="str">
        <f>IF(F195&lt;&gt;"",IF(COUNTIF(tb_consultas[codConsulta],F195)&gt;0,COUNTIF(tb_consultas[codConsulta],F195),IF(COUNTIF(tb_procedimientos[codProcedimiento],F195),COUNTIF(tb_procedimientos[codProcedimiento],F195),IF(COUNTIF(tb_medicamentos[codTecnologiaSalud],F195)&gt;0,SUMIF(tb_medicamentos[codTecnologiaSalud],F195,tb_medicamentos[cantidadMedicamento]),IF(COUNTIF(tb_otrosservicios[codTecnologiaSalud],F195)&gt;0,SUMIF(tb_otrosservicios[codTecnologiaSalud],F195,tb_otrosservicios[cantidadOS]),)))),"")</f>
        <v/>
      </c>
      <c r="M195" s="26" t="str">
        <f>IF(F195&lt;&gt;"",IF(COUNTIF(tb_consultas[codConsulta],F195)&gt;0,SUMIF(tb_consultas[codConsulta],F195,tb_consultas[vrServicio]),IF(COUNTIF(tb_procedimientos[codProcedimiento],F195),SUMIF(tb_procedimientos[codProcedimiento],F195,tb_procedimientos[vrServicio]),IF(COUNTIF(tb_medicamentos[codTecnologiaSalud],F195)&gt;0,SUMIF(tb_medicamentos[codTecnologiaSalud],F195,tb_medicamentos[vrServicio]),IF(COUNTIF(tb_otrosservicios[codTecnologiaSalud],F195)&gt;0,SUMIF(tb_otrosservicios[codTecnologiaSalud],F195,tb_otrosservicios[vrServicio]),)))),"")</f>
        <v/>
      </c>
      <c r="N195" s="33"/>
    </row>
    <row r="196" spans="6:14" x14ac:dyDescent="0.25">
      <c r="F196" s="30"/>
      <c r="G196" s="31"/>
      <c r="H196" s="38"/>
      <c r="I196" s="32"/>
      <c r="J196" s="32"/>
      <c r="K196" s="27"/>
      <c r="L196" s="11" t="str">
        <f>IF(F196&lt;&gt;"",IF(COUNTIF(tb_consultas[codConsulta],F196)&gt;0,COUNTIF(tb_consultas[codConsulta],F196),IF(COUNTIF(tb_procedimientos[codProcedimiento],F196),COUNTIF(tb_procedimientos[codProcedimiento],F196),IF(COUNTIF(tb_medicamentos[codTecnologiaSalud],F196)&gt;0,SUMIF(tb_medicamentos[codTecnologiaSalud],F196,tb_medicamentos[cantidadMedicamento]),IF(COUNTIF(tb_otrosservicios[codTecnologiaSalud],F196)&gt;0,SUMIF(tb_otrosservicios[codTecnologiaSalud],F196,tb_otrosservicios[cantidadOS]),)))),"")</f>
        <v/>
      </c>
      <c r="M196" s="26" t="str">
        <f>IF(F196&lt;&gt;"",IF(COUNTIF(tb_consultas[codConsulta],F196)&gt;0,SUMIF(tb_consultas[codConsulta],F196,tb_consultas[vrServicio]),IF(COUNTIF(tb_procedimientos[codProcedimiento],F196),SUMIF(tb_procedimientos[codProcedimiento],F196,tb_procedimientos[vrServicio]),IF(COUNTIF(tb_medicamentos[codTecnologiaSalud],F196)&gt;0,SUMIF(tb_medicamentos[codTecnologiaSalud],F196,tb_medicamentos[vrServicio]),IF(COUNTIF(tb_otrosservicios[codTecnologiaSalud],F196)&gt;0,SUMIF(tb_otrosservicios[codTecnologiaSalud],F196,tb_otrosservicios[vrServicio]),)))),"")</f>
        <v/>
      </c>
      <c r="N196" s="33"/>
    </row>
    <row r="197" spans="6:14" x14ac:dyDescent="0.25">
      <c r="F197" s="30"/>
      <c r="G197" s="31"/>
      <c r="H197" s="38"/>
      <c r="I197" s="32"/>
      <c r="J197" s="32"/>
      <c r="K197" s="27"/>
      <c r="L197" s="11" t="str">
        <f>IF(F197&lt;&gt;"",IF(COUNTIF(tb_consultas[codConsulta],F197)&gt;0,COUNTIF(tb_consultas[codConsulta],F197),IF(COUNTIF(tb_procedimientos[codProcedimiento],F197),COUNTIF(tb_procedimientos[codProcedimiento],F197),IF(COUNTIF(tb_medicamentos[codTecnologiaSalud],F197)&gt;0,SUMIF(tb_medicamentos[codTecnologiaSalud],F197,tb_medicamentos[cantidadMedicamento]),IF(COUNTIF(tb_otrosservicios[codTecnologiaSalud],F197)&gt;0,SUMIF(tb_otrosservicios[codTecnologiaSalud],F197,tb_otrosservicios[cantidadOS]),)))),"")</f>
        <v/>
      </c>
      <c r="M197" s="26" t="str">
        <f>IF(F197&lt;&gt;"",IF(COUNTIF(tb_consultas[codConsulta],F197)&gt;0,SUMIF(tb_consultas[codConsulta],F197,tb_consultas[vrServicio]),IF(COUNTIF(tb_procedimientos[codProcedimiento],F197),SUMIF(tb_procedimientos[codProcedimiento],F197,tb_procedimientos[vrServicio]),IF(COUNTIF(tb_medicamentos[codTecnologiaSalud],F197)&gt;0,SUMIF(tb_medicamentos[codTecnologiaSalud],F197,tb_medicamentos[vrServicio]),IF(COUNTIF(tb_otrosservicios[codTecnologiaSalud],F197)&gt;0,SUMIF(tb_otrosservicios[codTecnologiaSalud],F197,tb_otrosservicios[vrServicio]),)))),"")</f>
        <v/>
      </c>
      <c r="N197" s="33"/>
    </row>
    <row r="198" spans="6:14" x14ac:dyDescent="0.25">
      <c r="F198" s="30"/>
      <c r="G198" s="31"/>
      <c r="H198" s="38"/>
      <c r="I198" s="32"/>
      <c r="J198" s="32"/>
      <c r="K198" s="27"/>
      <c r="L198" s="11" t="str">
        <f>IF(F198&lt;&gt;"",IF(COUNTIF(tb_consultas[codConsulta],F198)&gt;0,COUNTIF(tb_consultas[codConsulta],F198),IF(COUNTIF(tb_procedimientos[codProcedimiento],F198),COUNTIF(tb_procedimientos[codProcedimiento],F198),IF(COUNTIF(tb_medicamentos[codTecnologiaSalud],F198)&gt;0,SUMIF(tb_medicamentos[codTecnologiaSalud],F198,tb_medicamentos[cantidadMedicamento]),IF(COUNTIF(tb_otrosservicios[codTecnologiaSalud],F198)&gt;0,SUMIF(tb_otrosservicios[codTecnologiaSalud],F198,tb_otrosservicios[cantidadOS]),)))),"")</f>
        <v/>
      </c>
      <c r="M198" s="26" t="str">
        <f>IF(F198&lt;&gt;"",IF(COUNTIF(tb_consultas[codConsulta],F198)&gt;0,SUMIF(tb_consultas[codConsulta],F198,tb_consultas[vrServicio]),IF(COUNTIF(tb_procedimientos[codProcedimiento],F198),SUMIF(tb_procedimientos[codProcedimiento],F198,tb_procedimientos[vrServicio]),IF(COUNTIF(tb_medicamentos[codTecnologiaSalud],F198)&gt;0,SUMIF(tb_medicamentos[codTecnologiaSalud],F198,tb_medicamentos[vrServicio]),IF(COUNTIF(tb_otrosservicios[codTecnologiaSalud],F198)&gt;0,SUMIF(tb_otrosservicios[codTecnologiaSalud],F198,tb_otrosservicios[vrServicio]),)))),"")</f>
        <v/>
      </c>
      <c r="N198" s="33"/>
    </row>
    <row r="199" spans="6:14" x14ac:dyDescent="0.25">
      <c r="F199" s="30"/>
      <c r="G199" s="31"/>
      <c r="H199" s="38"/>
      <c r="I199" s="32"/>
      <c r="J199" s="32"/>
      <c r="K199" s="27"/>
      <c r="L199" s="11" t="str">
        <f>IF(F199&lt;&gt;"",IF(COUNTIF(tb_consultas[codConsulta],F199)&gt;0,COUNTIF(tb_consultas[codConsulta],F199),IF(COUNTIF(tb_procedimientos[codProcedimiento],F199),COUNTIF(tb_procedimientos[codProcedimiento],F199),IF(COUNTIF(tb_medicamentos[codTecnologiaSalud],F199)&gt;0,SUMIF(tb_medicamentos[codTecnologiaSalud],F199,tb_medicamentos[cantidadMedicamento]),IF(COUNTIF(tb_otrosservicios[codTecnologiaSalud],F199)&gt;0,SUMIF(tb_otrosservicios[codTecnologiaSalud],F199,tb_otrosservicios[cantidadOS]),)))),"")</f>
        <v/>
      </c>
      <c r="M199" s="26" t="str">
        <f>IF(F199&lt;&gt;"",IF(COUNTIF(tb_consultas[codConsulta],F199)&gt;0,SUMIF(tb_consultas[codConsulta],F199,tb_consultas[vrServicio]),IF(COUNTIF(tb_procedimientos[codProcedimiento],F199),SUMIF(tb_procedimientos[codProcedimiento],F199,tb_procedimientos[vrServicio]),IF(COUNTIF(tb_medicamentos[codTecnologiaSalud],F199)&gt;0,SUMIF(tb_medicamentos[codTecnologiaSalud],F199,tb_medicamentos[vrServicio]),IF(COUNTIF(tb_otrosservicios[codTecnologiaSalud],F199)&gt;0,SUMIF(tb_otrosservicios[codTecnologiaSalud],F199,tb_otrosservicios[vrServicio]),)))),"")</f>
        <v/>
      </c>
      <c r="N199" s="33"/>
    </row>
    <row r="200" spans="6:14" x14ac:dyDescent="0.25">
      <c r="F200" s="30"/>
      <c r="G200" s="31"/>
      <c r="H200" s="38"/>
      <c r="I200" s="32"/>
      <c r="J200" s="32"/>
      <c r="K200" s="27"/>
      <c r="L200" s="11" t="str">
        <f>IF(F200&lt;&gt;"",IF(COUNTIF(tb_consultas[codConsulta],F200)&gt;0,COUNTIF(tb_consultas[codConsulta],F200),IF(COUNTIF(tb_procedimientos[codProcedimiento],F200),COUNTIF(tb_procedimientos[codProcedimiento],F200),IF(COUNTIF(tb_medicamentos[codTecnologiaSalud],F200)&gt;0,SUMIF(tb_medicamentos[codTecnologiaSalud],F200,tb_medicamentos[cantidadMedicamento]),IF(COUNTIF(tb_otrosservicios[codTecnologiaSalud],F200)&gt;0,SUMIF(tb_otrosservicios[codTecnologiaSalud],F200,tb_otrosservicios[cantidadOS]),)))),"")</f>
        <v/>
      </c>
      <c r="M200" s="26" t="str">
        <f>IF(F200&lt;&gt;"",IF(COUNTIF(tb_consultas[codConsulta],F200)&gt;0,SUMIF(tb_consultas[codConsulta],F200,tb_consultas[vrServicio]),IF(COUNTIF(tb_procedimientos[codProcedimiento],F200),SUMIF(tb_procedimientos[codProcedimiento],F200,tb_procedimientos[vrServicio]),IF(COUNTIF(tb_medicamentos[codTecnologiaSalud],F200)&gt;0,SUMIF(tb_medicamentos[codTecnologiaSalud],F200,tb_medicamentos[vrServicio]),IF(COUNTIF(tb_otrosservicios[codTecnologiaSalud],F200)&gt;0,SUMIF(tb_otrosservicios[codTecnologiaSalud],F200,tb_otrosservicios[vrServicio]),)))),"")</f>
        <v/>
      </c>
      <c r="N200" s="33"/>
    </row>
    <row r="201" spans="6:14" x14ac:dyDescent="0.25">
      <c r="F201" s="30"/>
      <c r="G201" s="31"/>
      <c r="H201" s="38"/>
      <c r="I201" s="32"/>
      <c r="J201" s="32"/>
      <c r="K201" s="27"/>
      <c r="L201" s="11" t="str">
        <f>IF(F201&lt;&gt;"",IF(COUNTIF(tb_consultas[codConsulta],F201)&gt;0,COUNTIF(tb_consultas[codConsulta],F201),IF(COUNTIF(tb_procedimientos[codProcedimiento],F201),COUNTIF(tb_procedimientos[codProcedimiento],F201),IF(COUNTIF(tb_medicamentos[codTecnologiaSalud],F201)&gt;0,SUMIF(tb_medicamentos[codTecnologiaSalud],F201,tb_medicamentos[cantidadMedicamento]),IF(COUNTIF(tb_otrosservicios[codTecnologiaSalud],F201)&gt;0,SUMIF(tb_otrosservicios[codTecnologiaSalud],F201,tb_otrosservicios[cantidadOS]),)))),"")</f>
        <v/>
      </c>
      <c r="M201" s="26" t="str">
        <f>IF(F201&lt;&gt;"",IF(COUNTIF(tb_consultas[codConsulta],F201)&gt;0,SUMIF(tb_consultas[codConsulta],F201,tb_consultas[vrServicio]),IF(COUNTIF(tb_procedimientos[codProcedimiento],F201),SUMIF(tb_procedimientos[codProcedimiento],F201,tb_procedimientos[vrServicio]),IF(COUNTIF(tb_medicamentos[codTecnologiaSalud],F201)&gt;0,SUMIF(tb_medicamentos[codTecnologiaSalud],F201,tb_medicamentos[vrServicio]),IF(COUNTIF(tb_otrosservicios[codTecnologiaSalud],F201)&gt;0,SUMIF(tb_otrosservicios[codTecnologiaSalud],F201,tb_otrosservicios[vrServicio]),)))),"")</f>
        <v/>
      </c>
      <c r="N201" s="33"/>
    </row>
    <row r="202" spans="6:14" x14ac:dyDescent="0.25">
      <c r="F202" s="30"/>
      <c r="G202" s="31"/>
      <c r="H202" s="38"/>
      <c r="I202" s="32"/>
      <c r="J202" s="32"/>
      <c r="K202" s="27"/>
      <c r="L202" s="11" t="str">
        <f>IF(F202&lt;&gt;"",IF(COUNTIF(tb_consultas[codConsulta],F202)&gt;0,COUNTIF(tb_consultas[codConsulta],F202),IF(COUNTIF(tb_procedimientos[codProcedimiento],F202),COUNTIF(tb_procedimientos[codProcedimiento],F202),IF(COUNTIF(tb_medicamentos[codTecnologiaSalud],F202)&gt;0,SUMIF(tb_medicamentos[codTecnologiaSalud],F202,tb_medicamentos[cantidadMedicamento]),IF(COUNTIF(tb_otrosservicios[codTecnologiaSalud],F202)&gt;0,SUMIF(tb_otrosservicios[codTecnologiaSalud],F202,tb_otrosservicios[cantidadOS]),)))),"")</f>
        <v/>
      </c>
      <c r="M202" s="26" t="str">
        <f>IF(F202&lt;&gt;"",IF(COUNTIF(tb_consultas[codConsulta],F202)&gt;0,SUMIF(tb_consultas[codConsulta],F202,tb_consultas[vrServicio]),IF(COUNTIF(tb_procedimientos[codProcedimiento],F202),SUMIF(tb_procedimientos[codProcedimiento],F202,tb_procedimientos[vrServicio]),IF(COUNTIF(tb_medicamentos[codTecnologiaSalud],F202)&gt;0,SUMIF(tb_medicamentos[codTecnologiaSalud],F202,tb_medicamentos[vrServicio]),IF(COUNTIF(tb_otrosservicios[codTecnologiaSalud],F202)&gt;0,SUMIF(tb_otrosservicios[codTecnologiaSalud],F202,tb_otrosservicios[vrServicio]),)))),"")</f>
        <v/>
      </c>
      <c r="N202" s="33"/>
    </row>
    <row r="203" spans="6:14" x14ac:dyDescent="0.25">
      <c r="F203" s="30"/>
      <c r="G203" s="31"/>
      <c r="H203" s="38"/>
      <c r="I203" s="32"/>
      <c r="J203" s="32"/>
      <c r="K203" s="26"/>
      <c r="L203" s="11" t="str">
        <f>IF(F203&lt;&gt;"",IF(COUNTIF(tb_consultas[codConsulta],F203)&gt;0,COUNTIF(tb_consultas[codConsulta],F203),IF(COUNTIF(tb_procedimientos[codProcedimiento],F203),COUNTIF(tb_procedimientos[codProcedimiento],F203),IF(COUNTIF(tb_medicamentos[codTecnologiaSalud],F203)&gt;0,SUMIF(tb_medicamentos[codTecnologiaSalud],F203,tb_medicamentos[cantidadMedicamento]),IF(COUNTIF(tb_otrosservicios[codTecnologiaSalud],F203)&gt;0,SUMIF(tb_otrosservicios[codTecnologiaSalud],F203,tb_otrosservicios[cantidadOS]),)))),"")</f>
        <v/>
      </c>
      <c r="M203" s="26" t="str">
        <f>IF(F203&lt;&gt;"",IF(COUNTIF(tb_consultas[codConsulta],F203)&gt;0,SUMIF(tb_consultas[codConsulta],F203,tb_consultas[vrServicio]),IF(COUNTIF(tb_procedimientos[codProcedimiento],F203),SUMIF(tb_procedimientos[codProcedimiento],F203,tb_procedimientos[vrServicio]),IF(COUNTIF(tb_medicamentos[codTecnologiaSalud],F203)&gt;0,SUMIF(tb_medicamentos[codTecnologiaSalud],F203,tb_medicamentos[vrServicio]),IF(COUNTIF(tb_otrosservicios[codTecnologiaSalud],F203)&gt;0,SUMIF(tb_otrosservicios[codTecnologiaSalud],F203,tb_otrosservicios[vrServicio]),)))),"")</f>
        <v/>
      </c>
      <c r="N203" s="33"/>
    </row>
    <row r="204" spans="6:14" x14ac:dyDescent="0.25">
      <c r="F204" s="30"/>
      <c r="G204" s="31"/>
      <c r="H204" s="38"/>
      <c r="I204" s="32"/>
      <c r="J204" s="32"/>
      <c r="K204" s="26"/>
      <c r="L204" s="11" t="str">
        <f>IF(F204&lt;&gt;"",IF(COUNTIF(tb_consultas[codConsulta],F204)&gt;0,COUNTIF(tb_consultas[codConsulta],F204),IF(COUNTIF(tb_procedimientos[codProcedimiento],F204),COUNTIF(tb_procedimientos[codProcedimiento],F204),IF(COUNTIF(tb_medicamentos[codTecnologiaSalud],F204)&gt;0,SUMIF(tb_medicamentos[codTecnologiaSalud],F204,tb_medicamentos[cantidadMedicamento]),IF(COUNTIF(tb_otrosservicios[codTecnologiaSalud],F204)&gt;0,SUMIF(tb_otrosservicios[codTecnologiaSalud],F204,tb_otrosservicios[cantidadOS]),)))),"")</f>
        <v/>
      </c>
      <c r="M204" s="26" t="str">
        <f>IF(F204&lt;&gt;"",IF(COUNTIF(tb_consultas[codConsulta],F204)&gt;0,SUMIF(tb_consultas[codConsulta],F204,tb_consultas[vrServicio]),IF(COUNTIF(tb_procedimientos[codProcedimiento],F204),SUMIF(tb_procedimientos[codProcedimiento],F204,tb_procedimientos[vrServicio]),IF(COUNTIF(tb_medicamentos[codTecnologiaSalud],F204)&gt;0,SUMIF(tb_medicamentos[codTecnologiaSalud],F204,tb_medicamentos[vrServicio]),IF(COUNTIF(tb_otrosservicios[codTecnologiaSalud],F204)&gt;0,SUMIF(tb_otrosservicios[codTecnologiaSalud],F204,tb_otrosservicios[vrServicio]),)))),"")</f>
        <v/>
      </c>
      <c r="N204" s="33"/>
    </row>
    <row r="205" spans="6:14" x14ac:dyDescent="0.25">
      <c r="F205" s="30"/>
      <c r="G205" s="31"/>
      <c r="H205" s="38"/>
      <c r="I205" s="32"/>
      <c r="J205" s="32"/>
      <c r="K205" s="26"/>
      <c r="L205" s="11" t="str">
        <f>IF(F205&lt;&gt;"",IF(COUNTIF(tb_consultas[codConsulta],F205)&gt;0,COUNTIF(tb_consultas[codConsulta],F205),IF(COUNTIF(tb_procedimientos[codProcedimiento],F205),COUNTIF(tb_procedimientos[codProcedimiento],F205),IF(COUNTIF(tb_medicamentos[codTecnologiaSalud],F205)&gt;0,SUMIF(tb_medicamentos[codTecnologiaSalud],F205,tb_medicamentos[cantidadMedicamento]),IF(COUNTIF(tb_otrosservicios[codTecnologiaSalud],F205)&gt;0,SUMIF(tb_otrosservicios[codTecnologiaSalud],F205,tb_otrosservicios[cantidadOS]),)))),"")</f>
        <v/>
      </c>
      <c r="M205" s="26" t="str">
        <f>IF(F205&lt;&gt;"",IF(COUNTIF(tb_consultas[codConsulta],F205)&gt;0,SUMIF(tb_consultas[codConsulta],F205,tb_consultas[vrServicio]),IF(COUNTIF(tb_procedimientos[codProcedimiento],F205),SUMIF(tb_procedimientos[codProcedimiento],F205,tb_procedimientos[vrServicio]),IF(COUNTIF(tb_medicamentos[codTecnologiaSalud],F205)&gt;0,SUMIF(tb_medicamentos[codTecnologiaSalud],F205,tb_medicamentos[vrServicio]),IF(COUNTIF(tb_otrosservicios[codTecnologiaSalud],F205)&gt;0,SUMIF(tb_otrosservicios[codTecnologiaSalud],F205,tb_otrosservicios[vrServicio]),)))),"")</f>
        <v/>
      </c>
      <c r="N205" s="33"/>
    </row>
    <row r="206" spans="6:14" x14ac:dyDescent="0.25">
      <c r="F206" s="30"/>
      <c r="G206" s="31"/>
      <c r="H206" s="38"/>
      <c r="I206" s="32"/>
      <c r="J206" s="32"/>
      <c r="K206" s="26"/>
      <c r="L206" s="11" t="str">
        <f>IF(F206&lt;&gt;"",IF(COUNTIF(tb_consultas[codConsulta],F206)&gt;0,COUNTIF(tb_consultas[codConsulta],F206),IF(COUNTIF(tb_procedimientos[codProcedimiento],F206),COUNTIF(tb_procedimientos[codProcedimiento],F206),IF(COUNTIF(tb_medicamentos[codTecnologiaSalud],F206)&gt;0,SUMIF(tb_medicamentos[codTecnologiaSalud],F206,tb_medicamentos[cantidadMedicamento]),IF(COUNTIF(tb_otrosservicios[codTecnologiaSalud],F206)&gt;0,SUMIF(tb_otrosservicios[codTecnologiaSalud],F206,tb_otrosservicios[cantidadOS]),)))),"")</f>
        <v/>
      </c>
      <c r="M206" s="26" t="str">
        <f>IF(F206&lt;&gt;"",IF(COUNTIF(tb_consultas[codConsulta],F206)&gt;0,SUMIF(tb_consultas[codConsulta],F206,tb_consultas[vrServicio]),IF(COUNTIF(tb_procedimientos[codProcedimiento],F206),SUMIF(tb_procedimientos[codProcedimiento],F206,tb_procedimientos[vrServicio]),IF(COUNTIF(tb_medicamentos[codTecnologiaSalud],F206)&gt;0,SUMIF(tb_medicamentos[codTecnologiaSalud],F206,tb_medicamentos[vrServicio]),IF(COUNTIF(tb_otrosservicios[codTecnologiaSalud],F206)&gt;0,SUMIF(tb_otrosservicios[codTecnologiaSalud],F206,tb_otrosservicios[vrServicio]),)))),"")</f>
        <v/>
      </c>
      <c r="N206" s="33"/>
    </row>
    <row r="207" spans="6:14" x14ac:dyDescent="0.25">
      <c r="F207" s="30"/>
      <c r="G207" s="31"/>
      <c r="H207" s="38"/>
      <c r="I207" s="32"/>
      <c r="J207" s="32"/>
      <c r="K207" s="26"/>
      <c r="L207" s="11" t="str">
        <f>IF(F207&lt;&gt;"",IF(COUNTIF(tb_consultas[codConsulta],F207)&gt;0,COUNTIF(tb_consultas[codConsulta],F207),IF(COUNTIF(tb_procedimientos[codProcedimiento],F207),COUNTIF(tb_procedimientos[codProcedimiento],F207),IF(COUNTIF(tb_medicamentos[codTecnologiaSalud],F207)&gt;0,SUMIF(tb_medicamentos[codTecnologiaSalud],F207,tb_medicamentos[cantidadMedicamento]),IF(COUNTIF(tb_otrosservicios[codTecnologiaSalud],F207)&gt;0,SUMIF(tb_otrosservicios[codTecnologiaSalud],F207,tb_otrosservicios[cantidadOS]),)))),"")</f>
        <v/>
      </c>
      <c r="M207" s="26" t="str">
        <f>IF(F207&lt;&gt;"",IF(COUNTIF(tb_consultas[codConsulta],F207)&gt;0,SUMIF(tb_consultas[codConsulta],F207,tb_consultas[vrServicio]),IF(COUNTIF(tb_procedimientos[codProcedimiento],F207),SUMIF(tb_procedimientos[codProcedimiento],F207,tb_procedimientos[vrServicio]),IF(COUNTIF(tb_medicamentos[codTecnologiaSalud],F207)&gt;0,SUMIF(tb_medicamentos[codTecnologiaSalud],F207,tb_medicamentos[vrServicio]),IF(COUNTIF(tb_otrosservicios[codTecnologiaSalud],F207)&gt;0,SUMIF(tb_otrosservicios[codTecnologiaSalud],F207,tb_otrosservicios[vrServicio]),)))),"")</f>
        <v/>
      </c>
      <c r="N207" s="33"/>
    </row>
    <row r="208" spans="6:14" x14ac:dyDescent="0.25">
      <c r="F208" s="30"/>
      <c r="G208" s="31"/>
      <c r="H208" s="38"/>
      <c r="I208" s="32"/>
      <c r="J208" s="32"/>
      <c r="K208" s="26"/>
      <c r="L208" s="11" t="str">
        <f>IF(F208&lt;&gt;"",IF(COUNTIF(tb_consultas[codConsulta],F208)&gt;0,COUNTIF(tb_consultas[codConsulta],F208),IF(COUNTIF(tb_procedimientos[codProcedimiento],F208),COUNTIF(tb_procedimientos[codProcedimiento],F208),IF(COUNTIF(tb_medicamentos[codTecnologiaSalud],F208)&gt;0,SUMIF(tb_medicamentos[codTecnologiaSalud],F208,tb_medicamentos[cantidadMedicamento]),IF(COUNTIF(tb_otrosservicios[codTecnologiaSalud],F208)&gt;0,SUMIF(tb_otrosservicios[codTecnologiaSalud],F208,tb_otrosservicios[cantidadOS]),)))),"")</f>
        <v/>
      </c>
      <c r="M208" s="26" t="str">
        <f>IF(F208&lt;&gt;"",IF(COUNTIF(tb_consultas[codConsulta],F208)&gt;0,SUMIF(tb_consultas[codConsulta],F208,tb_consultas[vrServicio]),IF(COUNTIF(tb_procedimientos[codProcedimiento],F208),SUMIF(tb_procedimientos[codProcedimiento],F208,tb_procedimientos[vrServicio]),IF(COUNTIF(tb_medicamentos[codTecnologiaSalud],F208)&gt;0,SUMIF(tb_medicamentos[codTecnologiaSalud],F208,tb_medicamentos[vrServicio]),IF(COUNTIF(tb_otrosservicios[codTecnologiaSalud],F208)&gt;0,SUMIF(tb_otrosservicios[codTecnologiaSalud],F208,tb_otrosservicios[vrServicio]),)))),"")</f>
        <v/>
      </c>
      <c r="N208" s="33"/>
    </row>
    <row r="209" spans="6:14" x14ac:dyDescent="0.25">
      <c r="F209" s="30"/>
      <c r="G209" s="31"/>
      <c r="H209" s="38"/>
      <c r="I209" s="32"/>
      <c r="J209" s="32"/>
      <c r="K209" s="26"/>
      <c r="L209" s="11" t="str">
        <f>IF(F209&lt;&gt;"",IF(COUNTIF(tb_consultas[codConsulta],F209)&gt;0,COUNTIF(tb_consultas[codConsulta],F209),IF(COUNTIF(tb_procedimientos[codProcedimiento],F209),COUNTIF(tb_procedimientos[codProcedimiento],F209),IF(COUNTIF(tb_medicamentos[codTecnologiaSalud],F209)&gt;0,SUMIF(tb_medicamentos[codTecnologiaSalud],F209,tb_medicamentos[cantidadMedicamento]),IF(COUNTIF(tb_otrosservicios[codTecnologiaSalud],F209)&gt;0,SUMIF(tb_otrosservicios[codTecnologiaSalud],F209,tb_otrosservicios[cantidadOS]),)))),"")</f>
        <v/>
      </c>
      <c r="M209" s="26" t="str">
        <f>IF(F209&lt;&gt;"",IF(COUNTIF(tb_consultas[codConsulta],F209)&gt;0,SUMIF(tb_consultas[codConsulta],F209,tb_consultas[vrServicio]),IF(COUNTIF(tb_procedimientos[codProcedimiento],F209),SUMIF(tb_procedimientos[codProcedimiento],F209,tb_procedimientos[vrServicio]),IF(COUNTIF(tb_medicamentos[codTecnologiaSalud],F209)&gt;0,SUMIF(tb_medicamentos[codTecnologiaSalud],F209,tb_medicamentos[vrServicio]),IF(COUNTIF(tb_otrosservicios[codTecnologiaSalud],F209)&gt;0,SUMIF(tb_otrosservicios[codTecnologiaSalud],F209,tb_otrosservicios[vrServicio]),)))),"")</f>
        <v/>
      </c>
      <c r="N209" s="33"/>
    </row>
    <row r="210" spans="6:14" x14ac:dyDescent="0.25">
      <c r="F210" s="30"/>
      <c r="G210" s="31"/>
      <c r="H210" s="38"/>
      <c r="I210" s="32"/>
      <c r="J210" s="32"/>
      <c r="K210" s="26"/>
      <c r="L210" s="11" t="str">
        <f>IF(F210&lt;&gt;"",IF(COUNTIF(tb_consultas[codConsulta],F210)&gt;0,COUNTIF(tb_consultas[codConsulta],F210),IF(COUNTIF(tb_procedimientos[codProcedimiento],F210),COUNTIF(tb_procedimientos[codProcedimiento],F210),IF(COUNTIF(tb_medicamentos[codTecnologiaSalud],F210)&gt;0,SUMIF(tb_medicamentos[codTecnologiaSalud],F210,tb_medicamentos[cantidadMedicamento]),IF(COUNTIF(tb_otrosservicios[codTecnologiaSalud],F210)&gt;0,SUMIF(tb_otrosservicios[codTecnologiaSalud],F210,tb_otrosservicios[cantidadOS]),)))),"")</f>
        <v/>
      </c>
      <c r="M210" s="26" t="str">
        <f>IF(F210&lt;&gt;"",IF(COUNTIF(tb_consultas[codConsulta],F210)&gt;0,SUMIF(tb_consultas[codConsulta],F210,tb_consultas[vrServicio]),IF(COUNTIF(tb_procedimientos[codProcedimiento],F210),SUMIF(tb_procedimientos[codProcedimiento],F210,tb_procedimientos[vrServicio]),IF(COUNTIF(tb_medicamentos[codTecnologiaSalud],F210)&gt;0,SUMIF(tb_medicamentos[codTecnologiaSalud],F210,tb_medicamentos[vrServicio]),IF(COUNTIF(tb_otrosservicios[codTecnologiaSalud],F210)&gt;0,SUMIF(tb_otrosservicios[codTecnologiaSalud],F210,tb_otrosservicios[vrServicio]),)))),"")</f>
        <v/>
      </c>
      <c r="N210" s="33"/>
    </row>
    <row r="211" spans="6:14" x14ac:dyDescent="0.25">
      <c r="F211" s="30"/>
      <c r="G211" s="31"/>
      <c r="H211" s="38"/>
      <c r="I211" s="32"/>
      <c r="J211" s="32"/>
      <c r="K211" s="26"/>
      <c r="L211" s="11" t="str">
        <f>IF(F211&lt;&gt;"",IF(COUNTIF(tb_consultas[codConsulta],F211)&gt;0,COUNTIF(tb_consultas[codConsulta],F211),IF(COUNTIF(tb_procedimientos[codProcedimiento],F211),COUNTIF(tb_procedimientos[codProcedimiento],F211),IF(COUNTIF(tb_medicamentos[codTecnologiaSalud],F211)&gt;0,SUMIF(tb_medicamentos[codTecnologiaSalud],F211,tb_medicamentos[cantidadMedicamento]),IF(COUNTIF(tb_otrosservicios[codTecnologiaSalud],F211)&gt;0,SUMIF(tb_otrosservicios[codTecnologiaSalud],F211,tb_otrosservicios[cantidadOS]),)))),"")</f>
        <v/>
      </c>
      <c r="M211" s="26" t="str">
        <f>IF(F211&lt;&gt;"",IF(COUNTIF(tb_consultas[codConsulta],F211)&gt;0,SUMIF(tb_consultas[codConsulta],F211,tb_consultas[vrServicio]),IF(COUNTIF(tb_procedimientos[codProcedimiento],F211),SUMIF(tb_procedimientos[codProcedimiento],F211,tb_procedimientos[vrServicio]),IF(COUNTIF(tb_medicamentos[codTecnologiaSalud],F211)&gt;0,SUMIF(tb_medicamentos[codTecnologiaSalud],F211,tb_medicamentos[vrServicio]),IF(COUNTIF(tb_otrosservicios[codTecnologiaSalud],F211)&gt;0,SUMIF(tb_otrosservicios[codTecnologiaSalud],F211,tb_otrosservicios[vrServicio]),)))),"")</f>
        <v/>
      </c>
      <c r="N211" s="33"/>
    </row>
    <row r="212" spans="6:14" x14ac:dyDescent="0.25">
      <c r="F212" s="30"/>
      <c r="G212" s="31"/>
      <c r="H212" s="38"/>
      <c r="I212" s="32"/>
      <c r="J212" s="32"/>
      <c r="K212" s="26"/>
      <c r="L212" s="11" t="str">
        <f>IF(F212&lt;&gt;"",IF(COUNTIF(tb_consultas[codConsulta],F212)&gt;0,COUNTIF(tb_consultas[codConsulta],F212),IF(COUNTIF(tb_procedimientos[codProcedimiento],F212),COUNTIF(tb_procedimientos[codProcedimiento],F212),IF(COUNTIF(tb_medicamentos[codTecnologiaSalud],F212)&gt;0,SUMIF(tb_medicamentos[codTecnologiaSalud],F212,tb_medicamentos[cantidadMedicamento]),IF(COUNTIF(tb_otrosservicios[codTecnologiaSalud],F212)&gt;0,SUMIF(tb_otrosservicios[codTecnologiaSalud],F212,tb_otrosservicios[cantidadOS]),)))),"")</f>
        <v/>
      </c>
      <c r="M212" s="26" t="str">
        <f>IF(F212&lt;&gt;"",IF(COUNTIF(tb_consultas[codConsulta],F212)&gt;0,SUMIF(tb_consultas[codConsulta],F212,tb_consultas[vrServicio]),IF(COUNTIF(tb_procedimientos[codProcedimiento],F212),SUMIF(tb_procedimientos[codProcedimiento],F212,tb_procedimientos[vrServicio]),IF(COUNTIF(tb_medicamentos[codTecnologiaSalud],F212)&gt;0,SUMIF(tb_medicamentos[codTecnologiaSalud],F212,tb_medicamentos[vrServicio]),IF(COUNTIF(tb_otrosservicios[codTecnologiaSalud],F212)&gt;0,SUMIF(tb_otrosservicios[codTecnologiaSalud],F212,tb_otrosservicios[vrServicio]),)))),"")</f>
        <v/>
      </c>
      <c r="N212" s="33"/>
    </row>
    <row r="213" spans="6:14" x14ac:dyDescent="0.25">
      <c r="F213" s="30"/>
      <c r="G213" s="31"/>
      <c r="H213" s="38"/>
      <c r="I213" s="32"/>
      <c r="J213" s="32"/>
      <c r="K213" s="26"/>
      <c r="L213" s="11" t="str">
        <f>IF(F213&lt;&gt;"",IF(COUNTIF(tb_consultas[codConsulta],F213)&gt;0,COUNTIF(tb_consultas[codConsulta],F213),IF(COUNTIF(tb_procedimientos[codProcedimiento],F213),COUNTIF(tb_procedimientos[codProcedimiento],F213),IF(COUNTIF(tb_medicamentos[codTecnologiaSalud],F213)&gt;0,SUMIF(tb_medicamentos[codTecnologiaSalud],F213,tb_medicamentos[cantidadMedicamento]),IF(COUNTIF(tb_otrosservicios[codTecnologiaSalud],F213)&gt;0,SUMIF(tb_otrosservicios[codTecnologiaSalud],F213,tb_otrosservicios[cantidadOS]),)))),"")</f>
        <v/>
      </c>
      <c r="M213" s="26" t="str">
        <f>IF(F213&lt;&gt;"",IF(COUNTIF(tb_consultas[codConsulta],F213)&gt;0,SUMIF(tb_consultas[codConsulta],F213,tb_consultas[vrServicio]),IF(COUNTIF(tb_procedimientos[codProcedimiento],F213),SUMIF(tb_procedimientos[codProcedimiento],F213,tb_procedimientos[vrServicio]),IF(COUNTIF(tb_medicamentos[codTecnologiaSalud],F213)&gt;0,SUMIF(tb_medicamentos[codTecnologiaSalud],F213,tb_medicamentos[vrServicio]),IF(COUNTIF(tb_otrosservicios[codTecnologiaSalud],F213)&gt;0,SUMIF(tb_otrosservicios[codTecnologiaSalud],F213,tb_otrosservicios[vrServicio]),)))),"")</f>
        <v/>
      </c>
      <c r="N213" s="33"/>
    </row>
    <row r="214" spans="6:14" x14ac:dyDescent="0.25">
      <c r="F214" s="30"/>
      <c r="G214" s="31"/>
      <c r="H214" s="38"/>
      <c r="I214" s="32"/>
      <c r="J214" s="32"/>
      <c r="K214" s="26"/>
      <c r="L214" s="11" t="str">
        <f>IF(F214&lt;&gt;"",IF(COUNTIF(tb_consultas[codConsulta],F214)&gt;0,COUNTIF(tb_consultas[codConsulta],F214),IF(COUNTIF(tb_procedimientos[codProcedimiento],F214),COUNTIF(tb_procedimientos[codProcedimiento],F214),IF(COUNTIF(tb_medicamentos[codTecnologiaSalud],F214)&gt;0,SUMIF(tb_medicamentos[codTecnologiaSalud],F214,tb_medicamentos[cantidadMedicamento]),IF(COUNTIF(tb_otrosservicios[codTecnologiaSalud],F214)&gt;0,SUMIF(tb_otrosservicios[codTecnologiaSalud],F214,tb_otrosservicios[cantidadOS]),)))),"")</f>
        <v/>
      </c>
      <c r="M214" s="26" t="str">
        <f>IF(F214&lt;&gt;"",IF(COUNTIF(tb_consultas[codConsulta],F214)&gt;0,SUMIF(tb_consultas[codConsulta],F214,tb_consultas[vrServicio]),IF(COUNTIF(tb_procedimientos[codProcedimiento],F214),SUMIF(tb_procedimientos[codProcedimiento],F214,tb_procedimientos[vrServicio]),IF(COUNTIF(tb_medicamentos[codTecnologiaSalud],F214)&gt;0,SUMIF(tb_medicamentos[codTecnologiaSalud],F214,tb_medicamentos[vrServicio]),IF(COUNTIF(tb_otrosservicios[codTecnologiaSalud],F214)&gt;0,SUMIF(tb_otrosservicios[codTecnologiaSalud],F214,tb_otrosservicios[vrServicio]),)))),"")</f>
        <v/>
      </c>
      <c r="N214" s="33"/>
    </row>
    <row r="215" spans="6:14" x14ac:dyDescent="0.25">
      <c r="F215" s="30"/>
      <c r="G215" s="31"/>
      <c r="H215" s="38"/>
      <c r="I215" s="32"/>
      <c r="J215" s="32"/>
      <c r="K215" s="26"/>
      <c r="L215" s="11" t="str">
        <f>IF(F215&lt;&gt;"",IF(COUNTIF(tb_consultas[codConsulta],F215)&gt;0,COUNTIF(tb_consultas[codConsulta],F215),IF(COUNTIF(tb_procedimientos[codProcedimiento],F215),COUNTIF(tb_procedimientos[codProcedimiento],F215),IF(COUNTIF(tb_medicamentos[codTecnologiaSalud],F215)&gt;0,SUMIF(tb_medicamentos[codTecnologiaSalud],F215,tb_medicamentos[cantidadMedicamento]),IF(COUNTIF(tb_otrosservicios[codTecnologiaSalud],F215)&gt;0,SUMIF(tb_otrosservicios[codTecnologiaSalud],F215,tb_otrosservicios[cantidadOS]),)))),"")</f>
        <v/>
      </c>
      <c r="M215" s="26" t="str">
        <f>IF(F215&lt;&gt;"",IF(COUNTIF(tb_consultas[codConsulta],F215)&gt;0,SUMIF(tb_consultas[codConsulta],F215,tb_consultas[vrServicio]),IF(COUNTIF(tb_procedimientos[codProcedimiento],F215),SUMIF(tb_procedimientos[codProcedimiento],F215,tb_procedimientos[vrServicio]),IF(COUNTIF(tb_medicamentos[codTecnologiaSalud],F215)&gt;0,SUMIF(tb_medicamentos[codTecnologiaSalud],F215,tb_medicamentos[vrServicio]),IF(COUNTIF(tb_otrosservicios[codTecnologiaSalud],F215)&gt;0,SUMIF(tb_otrosservicios[codTecnologiaSalud],F215,tb_otrosservicios[vrServicio]),)))),"")</f>
        <v/>
      </c>
      <c r="N215" s="33"/>
    </row>
    <row r="216" spans="6:14" x14ac:dyDescent="0.25">
      <c r="F216" s="30"/>
      <c r="G216" s="31"/>
      <c r="H216" s="38"/>
      <c r="I216" s="32"/>
      <c r="J216" s="32"/>
      <c r="K216" s="26"/>
      <c r="L216" s="11" t="str">
        <f>IF(F216&lt;&gt;"",IF(COUNTIF(tb_consultas[codConsulta],F216)&gt;0,COUNTIF(tb_consultas[codConsulta],F216),IF(COUNTIF(tb_procedimientos[codProcedimiento],F216),COUNTIF(tb_procedimientos[codProcedimiento],F216),IF(COUNTIF(tb_medicamentos[codTecnologiaSalud],F216)&gt;0,SUMIF(tb_medicamentos[codTecnologiaSalud],F216,tb_medicamentos[cantidadMedicamento]),IF(COUNTIF(tb_otrosservicios[codTecnologiaSalud],F216)&gt;0,SUMIF(tb_otrosservicios[codTecnologiaSalud],F216,tb_otrosservicios[cantidadOS]),)))),"")</f>
        <v/>
      </c>
      <c r="M216" s="26" t="str">
        <f>IF(F216&lt;&gt;"",IF(COUNTIF(tb_consultas[codConsulta],F216)&gt;0,SUMIF(tb_consultas[codConsulta],F216,tb_consultas[vrServicio]),IF(COUNTIF(tb_procedimientos[codProcedimiento],F216),SUMIF(tb_procedimientos[codProcedimiento],F216,tb_procedimientos[vrServicio]),IF(COUNTIF(tb_medicamentos[codTecnologiaSalud],F216)&gt;0,SUMIF(tb_medicamentos[codTecnologiaSalud],F216,tb_medicamentos[vrServicio]),IF(COUNTIF(tb_otrosservicios[codTecnologiaSalud],F216)&gt;0,SUMIF(tb_otrosservicios[codTecnologiaSalud],F216,tb_otrosservicios[vrServicio]),)))),"")</f>
        <v/>
      </c>
      <c r="N216" s="33"/>
    </row>
    <row r="217" spans="6:14" x14ac:dyDescent="0.25">
      <c r="F217" s="30"/>
      <c r="G217" s="31"/>
      <c r="H217" s="38"/>
      <c r="I217" s="32"/>
      <c r="J217" s="32"/>
      <c r="K217" s="26"/>
      <c r="L217" s="11" t="str">
        <f>IF(F217&lt;&gt;"",IF(COUNTIF(tb_consultas[codConsulta],F217)&gt;0,COUNTIF(tb_consultas[codConsulta],F217),IF(COUNTIF(tb_procedimientos[codProcedimiento],F217),COUNTIF(tb_procedimientos[codProcedimiento],F217),IF(COUNTIF(tb_medicamentos[codTecnologiaSalud],F217)&gt;0,SUMIF(tb_medicamentos[codTecnologiaSalud],F217,tb_medicamentos[cantidadMedicamento]),IF(COUNTIF(tb_otrosservicios[codTecnologiaSalud],F217)&gt;0,SUMIF(tb_otrosservicios[codTecnologiaSalud],F217,tb_otrosservicios[cantidadOS]),)))),"")</f>
        <v/>
      </c>
      <c r="M217" s="26" t="str">
        <f>IF(F217&lt;&gt;"",IF(COUNTIF(tb_consultas[codConsulta],F217)&gt;0,SUMIF(tb_consultas[codConsulta],F217,tb_consultas[vrServicio]),IF(COUNTIF(tb_procedimientos[codProcedimiento],F217),SUMIF(tb_procedimientos[codProcedimiento],F217,tb_procedimientos[vrServicio]),IF(COUNTIF(tb_medicamentos[codTecnologiaSalud],F217)&gt;0,SUMIF(tb_medicamentos[codTecnologiaSalud],F217,tb_medicamentos[vrServicio]),IF(COUNTIF(tb_otrosservicios[codTecnologiaSalud],F217)&gt;0,SUMIF(tb_otrosservicios[codTecnologiaSalud],F217,tb_otrosservicios[vrServicio]),)))),"")</f>
        <v/>
      </c>
      <c r="N217" s="33"/>
    </row>
    <row r="218" spans="6:14" x14ac:dyDescent="0.25">
      <c r="F218" s="30"/>
      <c r="G218" s="31"/>
      <c r="H218" s="38"/>
      <c r="I218" s="32"/>
      <c r="J218" s="32"/>
      <c r="K218" s="26"/>
      <c r="L218" s="11" t="str">
        <f>IF(F218&lt;&gt;"",IF(COUNTIF(tb_consultas[codConsulta],F218)&gt;0,COUNTIF(tb_consultas[codConsulta],F218),IF(COUNTIF(tb_procedimientos[codProcedimiento],F218),COUNTIF(tb_procedimientos[codProcedimiento],F218),IF(COUNTIF(tb_medicamentos[codTecnologiaSalud],F218)&gt;0,SUMIF(tb_medicamentos[codTecnologiaSalud],F218,tb_medicamentos[cantidadMedicamento]),IF(COUNTIF(tb_otrosservicios[codTecnologiaSalud],F218)&gt;0,SUMIF(tb_otrosservicios[codTecnologiaSalud],F218,tb_otrosservicios[cantidadOS]),)))),"")</f>
        <v/>
      </c>
      <c r="M218" s="26" t="str">
        <f>IF(F218&lt;&gt;"",IF(COUNTIF(tb_consultas[codConsulta],F218)&gt;0,SUMIF(tb_consultas[codConsulta],F218,tb_consultas[vrServicio]),IF(COUNTIF(tb_procedimientos[codProcedimiento],F218),SUMIF(tb_procedimientos[codProcedimiento],F218,tb_procedimientos[vrServicio]),IF(COUNTIF(tb_medicamentos[codTecnologiaSalud],F218)&gt;0,SUMIF(tb_medicamentos[codTecnologiaSalud],F218,tb_medicamentos[vrServicio]),IF(COUNTIF(tb_otrosservicios[codTecnologiaSalud],F218)&gt;0,SUMIF(tb_otrosservicios[codTecnologiaSalud],F218,tb_otrosservicios[vrServicio]),)))),"")</f>
        <v/>
      </c>
      <c r="N218" s="33"/>
    </row>
    <row r="219" spans="6:14" x14ac:dyDescent="0.25">
      <c r="F219" s="30"/>
      <c r="G219" s="31"/>
      <c r="H219" s="38"/>
      <c r="I219" s="32"/>
      <c r="J219" s="32"/>
      <c r="K219" s="26"/>
      <c r="L219" s="11" t="str">
        <f>IF(F219&lt;&gt;"",IF(COUNTIF(tb_consultas[codConsulta],F219)&gt;0,COUNTIF(tb_consultas[codConsulta],F219),IF(COUNTIF(tb_procedimientos[codProcedimiento],F219),COUNTIF(tb_procedimientos[codProcedimiento],F219),IF(COUNTIF(tb_medicamentos[codTecnologiaSalud],F219)&gt;0,SUMIF(tb_medicamentos[codTecnologiaSalud],F219,tb_medicamentos[cantidadMedicamento]),IF(COUNTIF(tb_otrosservicios[codTecnologiaSalud],F219)&gt;0,SUMIF(tb_otrosservicios[codTecnologiaSalud],F219,tb_otrosservicios[cantidadOS]),)))),"")</f>
        <v/>
      </c>
      <c r="M219" s="26" t="str">
        <f>IF(F219&lt;&gt;"",IF(COUNTIF(tb_consultas[codConsulta],F219)&gt;0,SUMIF(tb_consultas[codConsulta],F219,tb_consultas[vrServicio]),IF(COUNTIF(tb_procedimientos[codProcedimiento],F219),SUMIF(tb_procedimientos[codProcedimiento],F219,tb_procedimientos[vrServicio]),IF(COUNTIF(tb_medicamentos[codTecnologiaSalud],F219)&gt;0,SUMIF(tb_medicamentos[codTecnologiaSalud],F219,tb_medicamentos[vrServicio]),IF(COUNTIF(tb_otrosservicios[codTecnologiaSalud],F219)&gt;0,SUMIF(tb_otrosservicios[codTecnologiaSalud],F219,tb_otrosservicios[vrServicio]),)))),"")</f>
        <v/>
      </c>
      <c r="N219" s="33"/>
    </row>
    <row r="220" spans="6:14" x14ac:dyDescent="0.25">
      <c r="F220" s="30"/>
      <c r="G220" s="31"/>
      <c r="H220" s="38"/>
      <c r="I220" s="32"/>
      <c r="J220" s="32"/>
      <c r="K220" s="26"/>
      <c r="L220" s="11" t="str">
        <f>IF(F220&lt;&gt;"",IF(COUNTIF(tb_consultas[codConsulta],F220)&gt;0,COUNTIF(tb_consultas[codConsulta],F220),IF(COUNTIF(tb_procedimientos[codProcedimiento],F220),COUNTIF(tb_procedimientos[codProcedimiento],F220),IF(COUNTIF(tb_medicamentos[codTecnologiaSalud],F220)&gt;0,SUMIF(tb_medicamentos[codTecnologiaSalud],F220,tb_medicamentos[cantidadMedicamento]),IF(COUNTIF(tb_otrosservicios[codTecnologiaSalud],F220)&gt;0,SUMIF(tb_otrosservicios[codTecnologiaSalud],F220,tb_otrosservicios[cantidadOS]),)))),"")</f>
        <v/>
      </c>
      <c r="M220" s="26" t="str">
        <f>IF(F220&lt;&gt;"",IF(COUNTIF(tb_consultas[codConsulta],F220)&gt;0,SUMIF(tb_consultas[codConsulta],F220,tb_consultas[vrServicio]),IF(COUNTIF(tb_procedimientos[codProcedimiento],F220),SUMIF(tb_procedimientos[codProcedimiento],F220,tb_procedimientos[vrServicio]),IF(COUNTIF(tb_medicamentos[codTecnologiaSalud],F220)&gt;0,SUMIF(tb_medicamentos[codTecnologiaSalud],F220,tb_medicamentos[vrServicio]),IF(COUNTIF(tb_otrosservicios[codTecnologiaSalud],F220)&gt;0,SUMIF(tb_otrosservicios[codTecnologiaSalud],F220,tb_otrosservicios[vrServicio]),)))),"")</f>
        <v/>
      </c>
      <c r="N220" s="33"/>
    </row>
    <row r="221" spans="6:14" x14ac:dyDescent="0.25">
      <c r="F221" s="30"/>
      <c r="G221" s="31"/>
      <c r="H221" s="38"/>
      <c r="I221" s="32"/>
      <c r="J221" s="32"/>
      <c r="K221" s="26"/>
      <c r="L221" s="11" t="str">
        <f>IF(F221&lt;&gt;"",IF(COUNTIF(tb_consultas[codConsulta],F221)&gt;0,COUNTIF(tb_consultas[codConsulta],F221),IF(COUNTIF(tb_procedimientos[codProcedimiento],F221),COUNTIF(tb_procedimientos[codProcedimiento],F221),IF(COUNTIF(tb_medicamentos[codTecnologiaSalud],F221)&gt;0,SUMIF(tb_medicamentos[codTecnologiaSalud],F221,tb_medicamentos[cantidadMedicamento]),IF(COUNTIF(tb_otrosservicios[codTecnologiaSalud],F221)&gt;0,SUMIF(tb_otrosservicios[codTecnologiaSalud],F221,tb_otrosservicios[cantidadOS]),)))),"")</f>
        <v/>
      </c>
      <c r="M221" s="26" t="str">
        <f>IF(F221&lt;&gt;"",IF(COUNTIF(tb_consultas[codConsulta],F221)&gt;0,SUMIF(tb_consultas[codConsulta],F221,tb_consultas[vrServicio]),IF(COUNTIF(tb_procedimientos[codProcedimiento],F221),SUMIF(tb_procedimientos[codProcedimiento],F221,tb_procedimientos[vrServicio]),IF(COUNTIF(tb_medicamentos[codTecnologiaSalud],F221)&gt;0,SUMIF(tb_medicamentos[codTecnologiaSalud],F221,tb_medicamentos[vrServicio]),IF(COUNTIF(tb_otrosservicios[codTecnologiaSalud],F221)&gt;0,SUMIF(tb_otrosservicios[codTecnologiaSalud],F221,tb_otrosservicios[vrServicio]),)))),"")</f>
        <v/>
      </c>
      <c r="N221" s="33"/>
    </row>
    <row r="222" spans="6:14" x14ac:dyDescent="0.25">
      <c r="F222" s="30"/>
      <c r="G222" s="31"/>
      <c r="H222" s="38"/>
      <c r="I222" s="32"/>
      <c r="J222" s="32"/>
      <c r="K222" s="26"/>
      <c r="L222" s="11" t="str">
        <f>IF(F222&lt;&gt;"",IF(COUNTIF(tb_consultas[codConsulta],F222)&gt;0,COUNTIF(tb_consultas[codConsulta],F222),IF(COUNTIF(tb_procedimientos[codProcedimiento],F222),COUNTIF(tb_procedimientos[codProcedimiento],F222),IF(COUNTIF(tb_medicamentos[codTecnologiaSalud],F222)&gt;0,SUMIF(tb_medicamentos[codTecnologiaSalud],F222,tb_medicamentos[cantidadMedicamento]),IF(COUNTIF(tb_otrosservicios[codTecnologiaSalud],F222)&gt;0,SUMIF(tb_otrosservicios[codTecnologiaSalud],F222,tb_otrosservicios[cantidadOS]),)))),"")</f>
        <v/>
      </c>
      <c r="M222" s="26" t="str">
        <f>IF(F222&lt;&gt;"",IF(COUNTIF(tb_consultas[codConsulta],F222)&gt;0,SUMIF(tb_consultas[codConsulta],F222,tb_consultas[vrServicio]),IF(COUNTIF(tb_procedimientos[codProcedimiento],F222),SUMIF(tb_procedimientos[codProcedimiento],F222,tb_procedimientos[vrServicio]),IF(COUNTIF(tb_medicamentos[codTecnologiaSalud],F222)&gt;0,SUMIF(tb_medicamentos[codTecnologiaSalud],F222,tb_medicamentos[vrServicio]),IF(COUNTIF(tb_otrosservicios[codTecnologiaSalud],F222)&gt;0,SUMIF(tb_otrosservicios[codTecnologiaSalud],F222,tb_otrosservicios[vrServicio]),)))),"")</f>
        <v/>
      </c>
      <c r="N222" s="33"/>
    </row>
    <row r="223" spans="6:14" x14ac:dyDescent="0.25">
      <c r="F223" s="30"/>
      <c r="G223" s="31"/>
      <c r="H223" s="38"/>
      <c r="I223" s="32"/>
      <c r="J223" s="32"/>
      <c r="K223" s="26"/>
      <c r="L223" s="11" t="str">
        <f>IF(F223&lt;&gt;"",IF(COUNTIF(tb_consultas[codConsulta],F223)&gt;0,COUNTIF(tb_consultas[codConsulta],F223),IF(COUNTIF(tb_procedimientos[codProcedimiento],F223),COUNTIF(tb_procedimientos[codProcedimiento],F223),IF(COUNTIF(tb_medicamentos[codTecnologiaSalud],F223)&gt;0,SUMIF(tb_medicamentos[codTecnologiaSalud],F223,tb_medicamentos[cantidadMedicamento]),IF(COUNTIF(tb_otrosservicios[codTecnologiaSalud],F223)&gt;0,SUMIF(tb_otrosservicios[codTecnologiaSalud],F223,tb_otrosservicios[cantidadOS]),)))),"")</f>
        <v/>
      </c>
      <c r="M223" s="26" t="str">
        <f>IF(F223&lt;&gt;"",IF(COUNTIF(tb_consultas[codConsulta],F223)&gt;0,SUMIF(tb_consultas[codConsulta],F223,tb_consultas[vrServicio]),IF(COUNTIF(tb_procedimientos[codProcedimiento],F223),SUMIF(tb_procedimientos[codProcedimiento],F223,tb_procedimientos[vrServicio]),IF(COUNTIF(tb_medicamentos[codTecnologiaSalud],F223)&gt;0,SUMIF(tb_medicamentos[codTecnologiaSalud],F223,tb_medicamentos[vrServicio]),IF(COUNTIF(tb_otrosservicios[codTecnologiaSalud],F223)&gt;0,SUMIF(tb_otrosservicios[codTecnologiaSalud],F223,tb_otrosservicios[vrServicio]),)))),"")</f>
        <v/>
      </c>
      <c r="N223" s="33"/>
    </row>
    <row r="224" spans="6:14" x14ac:dyDescent="0.25">
      <c r="F224" s="30"/>
      <c r="G224" s="31"/>
      <c r="H224" s="38"/>
      <c r="I224" s="32"/>
      <c r="J224" s="32"/>
      <c r="K224" s="26"/>
      <c r="L224" s="11" t="str">
        <f>IF(F224&lt;&gt;"",IF(COUNTIF(tb_consultas[codConsulta],F224)&gt;0,COUNTIF(tb_consultas[codConsulta],F224),IF(COUNTIF(tb_procedimientos[codProcedimiento],F224),COUNTIF(tb_procedimientos[codProcedimiento],F224),IF(COUNTIF(tb_medicamentos[codTecnologiaSalud],F224)&gt;0,SUMIF(tb_medicamentos[codTecnologiaSalud],F224,tb_medicamentos[cantidadMedicamento]),IF(COUNTIF(tb_otrosservicios[codTecnologiaSalud],F224)&gt;0,SUMIF(tb_otrosservicios[codTecnologiaSalud],F224,tb_otrosservicios[cantidadOS]),)))),"")</f>
        <v/>
      </c>
      <c r="M224" s="26" t="str">
        <f>IF(F224&lt;&gt;"",IF(COUNTIF(tb_consultas[codConsulta],F224)&gt;0,SUMIF(tb_consultas[codConsulta],F224,tb_consultas[vrServicio]),IF(COUNTIF(tb_procedimientos[codProcedimiento],F224),SUMIF(tb_procedimientos[codProcedimiento],F224,tb_procedimientos[vrServicio]),IF(COUNTIF(tb_medicamentos[codTecnologiaSalud],F224)&gt;0,SUMIF(tb_medicamentos[codTecnologiaSalud],F224,tb_medicamentos[vrServicio]),IF(COUNTIF(tb_otrosservicios[codTecnologiaSalud],F224)&gt;0,SUMIF(tb_otrosservicios[codTecnologiaSalud],F224,tb_otrosservicios[vrServicio]),)))),"")</f>
        <v/>
      </c>
      <c r="N224" s="33"/>
    </row>
    <row r="225" spans="6:14" x14ac:dyDescent="0.25">
      <c r="F225" s="30"/>
      <c r="G225" s="31"/>
      <c r="H225" s="38"/>
      <c r="I225" s="32"/>
      <c r="J225" s="32"/>
      <c r="K225" s="26"/>
      <c r="L225" s="11" t="str">
        <f>IF(F225&lt;&gt;"",IF(COUNTIF(tb_consultas[codConsulta],F225)&gt;0,COUNTIF(tb_consultas[codConsulta],F225),IF(COUNTIF(tb_procedimientos[codProcedimiento],F225),COUNTIF(tb_procedimientos[codProcedimiento],F225),IF(COUNTIF(tb_medicamentos[codTecnologiaSalud],F225)&gt;0,SUMIF(tb_medicamentos[codTecnologiaSalud],F225,tb_medicamentos[cantidadMedicamento]),IF(COUNTIF(tb_otrosservicios[codTecnologiaSalud],F225)&gt;0,SUMIF(tb_otrosservicios[codTecnologiaSalud],F225,tb_otrosservicios[cantidadOS]),)))),"")</f>
        <v/>
      </c>
      <c r="M225" s="26" t="str">
        <f>IF(F225&lt;&gt;"",IF(COUNTIF(tb_consultas[codConsulta],F225)&gt;0,SUMIF(tb_consultas[codConsulta],F225,tb_consultas[vrServicio]),IF(COUNTIF(tb_procedimientos[codProcedimiento],F225),SUMIF(tb_procedimientos[codProcedimiento],F225,tb_procedimientos[vrServicio]),IF(COUNTIF(tb_medicamentos[codTecnologiaSalud],F225)&gt;0,SUMIF(tb_medicamentos[codTecnologiaSalud],F225,tb_medicamentos[vrServicio]),IF(COUNTIF(tb_otrosservicios[codTecnologiaSalud],F225)&gt;0,SUMIF(tb_otrosservicios[codTecnologiaSalud],F225,tb_otrosservicios[vrServicio]),)))),"")</f>
        <v/>
      </c>
      <c r="N225" s="33"/>
    </row>
    <row r="226" spans="6:14" x14ac:dyDescent="0.25">
      <c r="F226" s="30"/>
      <c r="G226" s="31"/>
      <c r="H226" s="38"/>
      <c r="I226" s="32"/>
      <c r="J226" s="32"/>
      <c r="K226" s="26"/>
      <c r="L226" s="11" t="str">
        <f>IF(F226&lt;&gt;"",IF(COUNTIF(tb_consultas[codConsulta],F226)&gt;0,COUNTIF(tb_consultas[codConsulta],F226),IF(COUNTIF(tb_procedimientos[codProcedimiento],F226),COUNTIF(tb_procedimientos[codProcedimiento],F226),IF(COUNTIF(tb_medicamentos[codTecnologiaSalud],F226)&gt;0,SUMIF(tb_medicamentos[codTecnologiaSalud],F226,tb_medicamentos[cantidadMedicamento]),IF(COUNTIF(tb_otrosservicios[codTecnologiaSalud],F226)&gt;0,SUMIF(tb_otrosservicios[codTecnologiaSalud],F226,tb_otrosservicios[cantidadOS]),)))),"")</f>
        <v/>
      </c>
      <c r="M226" s="26" t="str">
        <f>IF(F226&lt;&gt;"",IF(COUNTIF(tb_consultas[codConsulta],F226)&gt;0,SUMIF(tb_consultas[codConsulta],F226,tb_consultas[vrServicio]),IF(COUNTIF(tb_procedimientos[codProcedimiento],F226),SUMIF(tb_procedimientos[codProcedimiento],F226,tb_procedimientos[vrServicio]),IF(COUNTIF(tb_medicamentos[codTecnologiaSalud],F226)&gt;0,SUMIF(tb_medicamentos[codTecnologiaSalud],F226,tb_medicamentos[vrServicio]),IF(COUNTIF(tb_otrosservicios[codTecnologiaSalud],F226)&gt;0,SUMIF(tb_otrosservicios[codTecnologiaSalud],F226,tb_otrosservicios[vrServicio]),)))),"")</f>
        <v/>
      </c>
      <c r="N226" s="33"/>
    </row>
    <row r="227" spans="6:14" x14ac:dyDescent="0.25">
      <c r="F227" s="30"/>
      <c r="G227" s="31"/>
      <c r="H227" s="38"/>
      <c r="I227" s="32"/>
      <c r="J227" s="32"/>
      <c r="K227" s="26"/>
      <c r="L227" s="11" t="str">
        <f>IF(F227&lt;&gt;"",IF(COUNTIF(tb_consultas[codConsulta],F227)&gt;0,COUNTIF(tb_consultas[codConsulta],F227),IF(COUNTIF(tb_procedimientos[codProcedimiento],F227),COUNTIF(tb_procedimientos[codProcedimiento],F227),IF(COUNTIF(tb_medicamentos[codTecnologiaSalud],F227)&gt;0,SUMIF(tb_medicamentos[codTecnologiaSalud],F227,tb_medicamentos[cantidadMedicamento]),IF(COUNTIF(tb_otrosservicios[codTecnologiaSalud],F227)&gt;0,SUMIF(tb_otrosservicios[codTecnologiaSalud],F227,tb_otrosservicios[cantidadOS]),)))),"")</f>
        <v/>
      </c>
      <c r="M227" s="26" t="str">
        <f>IF(F227&lt;&gt;"",IF(COUNTIF(tb_consultas[codConsulta],F227)&gt;0,SUMIF(tb_consultas[codConsulta],F227,tb_consultas[vrServicio]),IF(COUNTIF(tb_procedimientos[codProcedimiento],F227),SUMIF(tb_procedimientos[codProcedimiento],F227,tb_procedimientos[vrServicio]),IF(COUNTIF(tb_medicamentos[codTecnologiaSalud],F227)&gt;0,SUMIF(tb_medicamentos[codTecnologiaSalud],F227,tb_medicamentos[vrServicio]),IF(COUNTIF(tb_otrosservicios[codTecnologiaSalud],F227)&gt;0,SUMIF(tb_otrosservicios[codTecnologiaSalud],F227,tb_otrosservicios[vrServicio]),)))),"")</f>
        <v/>
      </c>
      <c r="N227" s="33"/>
    </row>
    <row r="228" spans="6:14" x14ac:dyDescent="0.25">
      <c r="F228" s="30"/>
      <c r="G228" s="31"/>
      <c r="H228" s="38"/>
      <c r="I228" s="32"/>
      <c r="J228" s="32"/>
      <c r="K228" s="26"/>
      <c r="L228" s="11" t="str">
        <f>IF(F228&lt;&gt;"",IF(COUNTIF(tb_consultas[codConsulta],F228)&gt;0,COUNTIF(tb_consultas[codConsulta],F228),IF(COUNTIF(tb_procedimientos[codProcedimiento],F228),COUNTIF(tb_procedimientos[codProcedimiento],F228),IF(COUNTIF(tb_medicamentos[codTecnologiaSalud],F228)&gt;0,SUMIF(tb_medicamentos[codTecnologiaSalud],F228,tb_medicamentos[cantidadMedicamento]),IF(COUNTIF(tb_otrosservicios[codTecnologiaSalud],F228)&gt;0,SUMIF(tb_otrosservicios[codTecnologiaSalud],F228,tb_otrosservicios[cantidadOS]),)))),"")</f>
        <v/>
      </c>
      <c r="M228" s="26" t="str">
        <f>IF(F228&lt;&gt;"",IF(COUNTIF(tb_consultas[codConsulta],F228)&gt;0,SUMIF(tb_consultas[codConsulta],F228,tb_consultas[vrServicio]),IF(COUNTIF(tb_procedimientos[codProcedimiento],F228),SUMIF(tb_procedimientos[codProcedimiento],F228,tb_procedimientos[vrServicio]),IF(COUNTIF(tb_medicamentos[codTecnologiaSalud],F228)&gt;0,SUMIF(tb_medicamentos[codTecnologiaSalud],F228,tb_medicamentos[vrServicio]),IF(COUNTIF(tb_otrosservicios[codTecnologiaSalud],F228)&gt;0,SUMIF(tb_otrosservicios[codTecnologiaSalud],F228,tb_otrosservicios[vrServicio]),)))),"")</f>
        <v/>
      </c>
      <c r="N228" s="33"/>
    </row>
    <row r="229" spans="6:14" x14ac:dyDescent="0.25">
      <c r="F229" s="30"/>
      <c r="G229" s="31"/>
      <c r="H229" s="38"/>
      <c r="I229" s="32"/>
      <c r="J229" s="32"/>
      <c r="K229" s="26"/>
      <c r="L229" s="11" t="str">
        <f>IF(F229&lt;&gt;"",IF(COUNTIF(tb_consultas[codConsulta],F229)&gt;0,COUNTIF(tb_consultas[codConsulta],F229),IF(COUNTIF(tb_procedimientos[codProcedimiento],F229),COUNTIF(tb_procedimientos[codProcedimiento],F229),IF(COUNTIF(tb_medicamentos[codTecnologiaSalud],F229)&gt;0,SUMIF(tb_medicamentos[codTecnologiaSalud],F229,tb_medicamentos[cantidadMedicamento]),IF(COUNTIF(tb_otrosservicios[codTecnologiaSalud],F229)&gt;0,SUMIF(tb_otrosservicios[codTecnologiaSalud],F229,tb_otrosservicios[cantidadOS]),)))),"")</f>
        <v/>
      </c>
      <c r="M229" s="26" t="str">
        <f>IF(F229&lt;&gt;"",IF(COUNTIF(tb_consultas[codConsulta],F229)&gt;0,SUMIF(tb_consultas[codConsulta],F229,tb_consultas[vrServicio]),IF(COUNTIF(tb_procedimientos[codProcedimiento],F229),SUMIF(tb_procedimientos[codProcedimiento],F229,tb_procedimientos[vrServicio]),IF(COUNTIF(tb_medicamentos[codTecnologiaSalud],F229)&gt;0,SUMIF(tb_medicamentos[codTecnologiaSalud],F229,tb_medicamentos[vrServicio]),IF(COUNTIF(tb_otrosservicios[codTecnologiaSalud],F229)&gt;0,SUMIF(tb_otrosservicios[codTecnologiaSalud],F229,tb_otrosservicios[vrServicio]),)))),"")</f>
        <v/>
      </c>
      <c r="N229" s="33"/>
    </row>
    <row r="230" spans="6:14" x14ac:dyDescent="0.25">
      <c r="F230" s="30"/>
      <c r="G230" s="31"/>
      <c r="H230" s="38"/>
      <c r="I230" s="32"/>
      <c r="J230" s="32"/>
      <c r="K230" s="26"/>
      <c r="L230" s="11" t="str">
        <f>IF(F230&lt;&gt;"",IF(COUNTIF(tb_consultas[codConsulta],F230)&gt;0,COUNTIF(tb_consultas[codConsulta],F230),IF(COUNTIF(tb_procedimientos[codProcedimiento],F230),COUNTIF(tb_procedimientos[codProcedimiento],F230),IF(COUNTIF(tb_medicamentos[codTecnologiaSalud],F230)&gt;0,SUMIF(tb_medicamentos[codTecnologiaSalud],F230,tb_medicamentos[cantidadMedicamento]),IF(COUNTIF(tb_otrosservicios[codTecnologiaSalud],F230)&gt;0,SUMIF(tb_otrosservicios[codTecnologiaSalud],F230,tb_otrosservicios[cantidadOS]),)))),"")</f>
        <v/>
      </c>
      <c r="M230" s="26" t="str">
        <f>IF(F230&lt;&gt;"",IF(COUNTIF(tb_consultas[codConsulta],F230)&gt;0,SUMIF(tb_consultas[codConsulta],F230,tb_consultas[vrServicio]),IF(COUNTIF(tb_procedimientos[codProcedimiento],F230),SUMIF(tb_procedimientos[codProcedimiento],F230,tb_procedimientos[vrServicio]),IF(COUNTIF(tb_medicamentos[codTecnologiaSalud],F230)&gt;0,SUMIF(tb_medicamentos[codTecnologiaSalud],F230,tb_medicamentos[vrServicio]),IF(COUNTIF(tb_otrosservicios[codTecnologiaSalud],F230)&gt;0,SUMIF(tb_otrosservicios[codTecnologiaSalud],F230,tb_otrosservicios[vrServicio]),)))),"")</f>
        <v/>
      </c>
      <c r="N230" s="33"/>
    </row>
    <row r="231" spans="6:14" x14ac:dyDescent="0.25">
      <c r="F231" s="30"/>
      <c r="G231" s="31"/>
      <c r="H231" s="38"/>
      <c r="I231" s="32"/>
      <c r="J231" s="32"/>
      <c r="K231" s="26"/>
      <c r="L231" s="11" t="str">
        <f>IF(F231&lt;&gt;"",IF(COUNTIF(tb_consultas[codConsulta],F231)&gt;0,COUNTIF(tb_consultas[codConsulta],F231),IF(COUNTIF(tb_procedimientos[codProcedimiento],F231),COUNTIF(tb_procedimientos[codProcedimiento],F231),IF(COUNTIF(tb_medicamentos[codTecnologiaSalud],F231)&gt;0,SUMIF(tb_medicamentos[codTecnologiaSalud],F231,tb_medicamentos[cantidadMedicamento]),IF(COUNTIF(tb_otrosservicios[codTecnologiaSalud],F231)&gt;0,SUMIF(tb_otrosservicios[codTecnologiaSalud],F231,tb_otrosservicios[cantidadOS]),)))),"")</f>
        <v/>
      </c>
      <c r="M231" s="26" t="str">
        <f>IF(F231&lt;&gt;"",IF(COUNTIF(tb_consultas[codConsulta],F231)&gt;0,SUMIF(tb_consultas[codConsulta],F231,tb_consultas[vrServicio]),IF(COUNTIF(tb_procedimientos[codProcedimiento],F231),SUMIF(tb_procedimientos[codProcedimiento],F231,tb_procedimientos[vrServicio]),IF(COUNTIF(tb_medicamentos[codTecnologiaSalud],F231)&gt;0,SUMIF(tb_medicamentos[codTecnologiaSalud],F231,tb_medicamentos[vrServicio]),IF(COUNTIF(tb_otrosservicios[codTecnologiaSalud],F231)&gt;0,SUMIF(tb_otrosservicios[codTecnologiaSalud],F231,tb_otrosservicios[vrServicio]),)))),"")</f>
        <v/>
      </c>
      <c r="N231" s="33"/>
    </row>
    <row r="232" spans="6:14" x14ac:dyDescent="0.25">
      <c r="F232" s="30"/>
      <c r="G232" s="31"/>
      <c r="H232" s="38"/>
      <c r="I232" s="32"/>
      <c r="J232" s="32"/>
      <c r="K232" s="26"/>
      <c r="L232" s="11" t="str">
        <f>IF(F232&lt;&gt;"",IF(COUNTIF(tb_consultas[codConsulta],F232)&gt;0,COUNTIF(tb_consultas[codConsulta],F232),IF(COUNTIF(tb_procedimientos[codProcedimiento],F232),COUNTIF(tb_procedimientos[codProcedimiento],F232),IF(COUNTIF(tb_medicamentos[codTecnologiaSalud],F232)&gt;0,SUMIF(tb_medicamentos[codTecnologiaSalud],F232,tb_medicamentos[cantidadMedicamento]),IF(COUNTIF(tb_otrosservicios[codTecnologiaSalud],F232)&gt;0,SUMIF(tb_otrosservicios[codTecnologiaSalud],F232,tb_otrosservicios[cantidadOS]),)))),"")</f>
        <v/>
      </c>
      <c r="M232" s="26" t="str">
        <f>IF(F232&lt;&gt;"",IF(COUNTIF(tb_consultas[codConsulta],F232)&gt;0,SUMIF(tb_consultas[codConsulta],F232,tb_consultas[vrServicio]),IF(COUNTIF(tb_procedimientos[codProcedimiento],F232),SUMIF(tb_procedimientos[codProcedimiento],F232,tb_procedimientos[vrServicio]),IF(COUNTIF(tb_medicamentos[codTecnologiaSalud],F232)&gt;0,SUMIF(tb_medicamentos[codTecnologiaSalud],F232,tb_medicamentos[vrServicio]),IF(COUNTIF(tb_otrosservicios[codTecnologiaSalud],F232)&gt;0,SUMIF(tb_otrosservicios[codTecnologiaSalud],F232,tb_otrosservicios[vrServicio]),)))),"")</f>
        <v/>
      </c>
      <c r="N232" s="33"/>
    </row>
    <row r="233" spans="6:14" x14ac:dyDescent="0.25">
      <c r="F233" s="30"/>
      <c r="G233" s="31"/>
      <c r="H233" s="38"/>
      <c r="I233" s="32"/>
      <c r="J233" s="32"/>
      <c r="K233" s="26"/>
      <c r="L233" s="11" t="str">
        <f>IF(F233&lt;&gt;"",IF(COUNTIF(tb_consultas[codConsulta],F233)&gt;0,COUNTIF(tb_consultas[codConsulta],F233),IF(COUNTIF(tb_procedimientos[codProcedimiento],F233),COUNTIF(tb_procedimientos[codProcedimiento],F233),IF(COUNTIF(tb_medicamentos[codTecnologiaSalud],F233)&gt;0,SUMIF(tb_medicamentos[codTecnologiaSalud],F233,tb_medicamentos[cantidadMedicamento]),IF(COUNTIF(tb_otrosservicios[codTecnologiaSalud],F233)&gt;0,SUMIF(tb_otrosservicios[codTecnologiaSalud],F233,tb_otrosservicios[cantidadOS]),)))),"")</f>
        <v/>
      </c>
      <c r="M233" s="26" t="str">
        <f>IF(F233&lt;&gt;"",IF(COUNTIF(tb_consultas[codConsulta],F233)&gt;0,SUMIF(tb_consultas[codConsulta],F233,tb_consultas[vrServicio]),IF(COUNTIF(tb_procedimientos[codProcedimiento],F233),SUMIF(tb_procedimientos[codProcedimiento],F233,tb_procedimientos[vrServicio]),IF(COUNTIF(tb_medicamentos[codTecnologiaSalud],F233)&gt;0,SUMIF(tb_medicamentos[codTecnologiaSalud],F233,tb_medicamentos[vrServicio]),IF(COUNTIF(tb_otrosservicios[codTecnologiaSalud],F233)&gt;0,SUMIF(tb_otrosservicios[codTecnologiaSalud],F233,tb_otrosservicios[vrServicio]),)))),"")</f>
        <v/>
      </c>
      <c r="N233" s="33"/>
    </row>
    <row r="234" spans="6:14" x14ac:dyDescent="0.25">
      <c r="F234" s="30"/>
      <c r="G234" s="31"/>
      <c r="H234" s="38"/>
      <c r="I234" s="32"/>
      <c r="J234" s="32"/>
      <c r="K234" s="26"/>
      <c r="L234" s="11" t="str">
        <f>IF(F234&lt;&gt;"",IF(COUNTIF(tb_consultas[codConsulta],F234)&gt;0,COUNTIF(tb_consultas[codConsulta],F234),IF(COUNTIF(tb_procedimientos[codProcedimiento],F234),COUNTIF(tb_procedimientos[codProcedimiento],F234),IF(COUNTIF(tb_medicamentos[codTecnologiaSalud],F234)&gt;0,SUMIF(tb_medicamentos[codTecnologiaSalud],F234,tb_medicamentos[cantidadMedicamento]),IF(COUNTIF(tb_otrosservicios[codTecnologiaSalud],F234)&gt;0,SUMIF(tb_otrosservicios[codTecnologiaSalud],F234,tb_otrosservicios[cantidadOS]),)))),"")</f>
        <v/>
      </c>
      <c r="M234" s="26" t="str">
        <f>IF(F234&lt;&gt;"",IF(COUNTIF(tb_consultas[codConsulta],F234)&gt;0,SUMIF(tb_consultas[codConsulta],F234,tb_consultas[vrServicio]),IF(COUNTIF(tb_procedimientos[codProcedimiento],F234),SUMIF(tb_procedimientos[codProcedimiento],F234,tb_procedimientos[vrServicio]),IF(COUNTIF(tb_medicamentos[codTecnologiaSalud],F234)&gt;0,SUMIF(tb_medicamentos[codTecnologiaSalud],F234,tb_medicamentos[vrServicio]),IF(COUNTIF(tb_otrosservicios[codTecnologiaSalud],F234)&gt;0,SUMIF(tb_otrosservicios[codTecnologiaSalud],F234,tb_otrosservicios[vrServicio]),)))),"")</f>
        <v/>
      </c>
      <c r="N234" s="33"/>
    </row>
    <row r="235" spans="6:14" x14ac:dyDescent="0.25">
      <c r="F235" s="30"/>
      <c r="G235" s="31"/>
      <c r="H235" s="38"/>
      <c r="I235" s="32"/>
      <c r="J235" s="32"/>
      <c r="K235" s="26"/>
      <c r="L235" s="11" t="str">
        <f>IF(F235&lt;&gt;"",IF(COUNTIF(tb_consultas[codConsulta],F235)&gt;0,COUNTIF(tb_consultas[codConsulta],F235),IF(COUNTIF(tb_procedimientos[codProcedimiento],F235),COUNTIF(tb_procedimientos[codProcedimiento],F235),IF(COUNTIF(tb_medicamentos[codTecnologiaSalud],F235)&gt;0,SUMIF(tb_medicamentos[codTecnologiaSalud],F235,tb_medicamentos[cantidadMedicamento]),IF(COUNTIF(tb_otrosservicios[codTecnologiaSalud],F235)&gt;0,SUMIF(tb_otrosservicios[codTecnologiaSalud],F235,tb_otrosservicios[cantidadOS]),)))),"")</f>
        <v/>
      </c>
      <c r="M235" s="26" t="str">
        <f>IF(F235&lt;&gt;"",IF(COUNTIF(tb_consultas[codConsulta],F235)&gt;0,SUMIF(tb_consultas[codConsulta],F235,tb_consultas[vrServicio]),IF(COUNTIF(tb_procedimientos[codProcedimiento],F235),SUMIF(tb_procedimientos[codProcedimiento],F235,tb_procedimientos[vrServicio]),IF(COUNTIF(tb_medicamentos[codTecnologiaSalud],F235)&gt;0,SUMIF(tb_medicamentos[codTecnologiaSalud],F235,tb_medicamentos[vrServicio]),IF(COUNTIF(tb_otrosservicios[codTecnologiaSalud],F235)&gt;0,SUMIF(tb_otrosservicios[codTecnologiaSalud],F235,tb_otrosservicios[vrServicio]),)))),"")</f>
        <v/>
      </c>
      <c r="N235" s="33"/>
    </row>
    <row r="236" spans="6:14" x14ac:dyDescent="0.25">
      <c r="F236" s="30"/>
      <c r="G236" s="31"/>
      <c r="H236" s="38"/>
      <c r="I236" s="32"/>
      <c r="J236" s="32"/>
      <c r="K236" s="26"/>
      <c r="L236" s="11" t="str">
        <f>IF(F236&lt;&gt;"",IF(COUNTIF(tb_consultas[codConsulta],F236)&gt;0,COUNTIF(tb_consultas[codConsulta],F236),IF(COUNTIF(tb_procedimientos[codProcedimiento],F236),COUNTIF(tb_procedimientos[codProcedimiento],F236),IF(COUNTIF(tb_medicamentos[codTecnologiaSalud],F236)&gt;0,SUMIF(tb_medicamentos[codTecnologiaSalud],F236,tb_medicamentos[cantidadMedicamento]),IF(COUNTIF(tb_otrosservicios[codTecnologiaSalud],F236)&gt;0,SUMIF(tb_otrosservicios[codTecnologiaSalud],F236,tb_otrosservicios[cantidadOS]),)))),"")</f>
        <v/>
      </c>
      <c r="M236" s="26" t="str">
        <f>IF(F236&lt;&gt;"",IF(COUNTIF(tb_consultas[codConsulta],F236)&gt;0,SUMIF(tb_consultas[codConsulta],F236,tb_consultas[vrServicio]),IF(COUNTIF(tb_procedimientos[codProcedimiento],F236),SUMIF(tb_procedimientos[codProcedimiento],F236,tb_procedimientos[vrServicio]),IF(COUNTIF(tb_medicamentos[codTecnologiaSalud],F236)&gt;0,SUMIF(tb_medicamentos[codTecnologiaSalud],F236,tb_medicamentos[vrServicio]),IF(COUNTIF(tb_otrosservicios[codTecnologiaSalud],F236)&gt;0,SUMIF(tb_otrosservicios[codTecnologiaSalud],F236,tb_otrosservicios[vrServicio]),)))),"")</f>
        <v/>
      </c>
      <c r="N236" s="33"/>
    </row>
    <row r="237" spans="6:14" x14ac:dyDescent="0.25">
      <c r="F237" s="30"/>
      <c r="G237" s="31"/>
      <c r="H237" s="38"/>
      <c r="I237" s="32"/>
      <c r="J237" s="32"/>
      <c r="K237" s="26"/>
      <c r="L237" s="11" t="str">
        <f>IF(F237&lt;&gt;"",IF(COUNTIF(tb_consultas[codConsulta],F237)&gt;0,COUNTIF(tb_consultas[codConsulta],F237),IF(COUNTIF(tb_procedimientos[codProcedimiento],F237),COUNTIF(tb_procedimientos[codProcedimiento],F237),IF(COUNTIF(tb_medicamentos[codTecnologiaSalud],F237)&gt;0,SUMIF(tb_medicamentos[codTecnologiaSalud],F237,tb_medicamentos[cantidadMedicamento]),IF(COUNTIF(tb_otrosservicios[codTecnologiaSalud],F237)&gt;0,SUMIF(tb_otrosservicios[codTecnologiaSalud],F237,tb_otrosservicios[cantidadOS]),)))),"")</f>
        <v/>
      </c>
      <c r="M237" s="26" t="str">
        <f>IF(F237&lt;&gt;"",IF(COUNTIF(tb_consultas[codConsulta],F237)&gt;0,SUMIF(tb_consultas[codConsulta],F237,tb_consultas[vrServicio]),IF(COUNTIF(tb_procedimientos[codProcedimiento],F237),SUMIF(tb_procedimientos[codProcedimiento],F237,tb_procedimientos[vrServicio]),IF(COUNTIF(tb_medicamentos[codTecnologiaSalud],F237)&gt;0,SUMIF(tb_medicamentos[codTecnologiaSalud],F237,tb_medicamentos[vrServicio]),IF(COUNTIF(tb_otrosservicios[codTecnologiaSalud],F237)&gt;0,SUMIF(tb_otrosservicios[codTecnologiaSalud],F237,tb_otrosservicios[vrServicio]),)))),"")</f>
        <v/>
      </c>
      <c r="N237" s="33"/>
    </row>
    <row r="238" spans="6:14" x14ac:dyDescent="0.25">
      <c r="F238" s="30"/>
      <c r="G238" s="31"/>
      <c r="H238" s="38"/>
      <c r="I238" s="32"/>
      <c r="J238" s="32"/>
      <c r="K238" s="26"/>
      <c r="L238" s="11" t="str">
        <f>IF(F238&lt;&gt;"",IF(COUNTIF(tb_consultas[codConsulta],F238)&gt;0,COUNTIF(tb_consultas[codConsulta],F238),IF(COUNTIF(tb_procedimientos[codProcedimiento],F238),COUNTIF(tb_procedimientos[codProcedimiento],F238),IF(COUNTIF(tb_medicamentos[codTecnologiaSalud],F238)&gt;0,SUMIF(tb_medicamentos[codTecnologiaSalud],F238,tb_medicamentos[cantidadMedicamento]),IF(COUNTIF(tb_otrosservicios[codTecnologiaSalud],F238)&gt;0,SUMIF(tb_otrosservicios[codTecnologiaSalud],F238,tb_otrosservicios[cantidadOS]),)))),"")</f>
        <v/>
      </c>
      <c r="M238" s="26" t="str">
        <f>IF(F238&lt;&gt;"",IF(COUNTIF(tb_consultas[codConsulta],F238)&gt;0,SUMIF(tb_consultas[codConsulta],F238,tb_consultas[vrServicio]),IF(COUNTIF(tb_procedimientos[codProcedimiento],F238),SUMIF(tb_procedimientos[codProcedimiento],F238,tb_procedimientos[vrServicio]),IF(COUNTIF(tb_medicamentos[codTecnologiaSalud],F238)&gt;0,SUMIF(tb_medicamentos[codTecnologiaSalud],F238,tb_medicamentos[vrServicio]),IF(COUNTIF(tb_otrosservicios[codTecnologiaSalud],F238)&gt;0,SUMIF(tb_otrosservicios[codTecnologiaSalud],F238,tb_otrosservicios[vrServicio]),)))),"")</f>
        <v/>
      </c>
      <c r="N238" s="33"/>
    </row>
    <row r="239" spans="6:14" x14ac:dyDescent="0.25">
      <c r="F239" s="30"/>
      <c r="G239" s="31"/>
      <c r="H239" s="38"/>
      <c r="I239" s="32"/>
      <c r="J239" s="32"/>
      <c r="K239" s="26"/>
      <c r="L239" s="11" t="str">
        <f>IF(F239&lt;&gt;"",IF(COUNTIF(tb_consultas[codConsulta],F239)&gt;0,COUNTIF(tb_consultas[codConsulta],F239),IF(COUNTIF(tb_procedimientos[codProcedimiento],F239),COUNTIF(tb_procedimientos[codProcedimiento],F239),IF(COUNTIF(tb_medicamentos[codTecnologiaSalud],F239)&gt;0,SUMIF(tb_medicamentos[codTecnologiaSalud],F239,tb_medicamentos[cantidadMedicamento]),IF(COUNTIF(tb_otrosservicios[codTecnologiaSalud],F239)&gt;0,SUMIF(tb_otrosservicios[codTecnologiaSalud],F239,tb_otrosservicios[cantidadOS]),)))),"")</f>
        <v/>
      </c>
      <c r="M239" s="26" t="str">
        <f>IF(F239&lt;&gt;"",IF(COUNTIF(tb_consultas[codConsulta],F239)&gt;0,SUMIF(tb_consultas[codConsulta],F239,tb_consultas[vrServicio]),IF(COUNTIF(tb_procedimientos[codProcedimiento],F239),SUMIF(tb_procedimientos[codProcedimiento],F239,tb_procedimientos[vrServicio]),IF(COUNTIF(tb_medicamentos[codTecnologiaSalud],F239)&gt;0,SUMIF(tb_medicamentos[codTecnologiaSalud],F239,tb_medicamentos[vrServicio]),IF(COUNTIF(tb_otrosservicios[codTecnologiaSalud],F239)&gt;0,SUMIF(tb_otrosservicios[codTecnologiaSalud],F239,tb_otrosservicios[vrServicio]),)))),"")</f>
        <v/>
      </c>
      <c r="N239" s="33"/>
    </row>
    <row r="240" spans="6:14" x14ac:dyDescent="0.25">
      <c r="F240" s="30"/>
      <c r="G240" s="31"/>
      <c r="H240" s="38"/>
      <c r="I240" s="32"/>
      <c r="J240" s="32"/>
      <c r="K240" s="26"/>
      <c r="L240" s="11" t="str">
        <f>IF(F240&lt;&gt;"",IF(COUNTIF(tb_consultas[codConsulta],F240)&gt;0,COUNTIF(tb_consultas[codConsulta],F240),IF(COUNTIF(tb_procedimientos[codProcedimiento],F240),COUNTIF(tb_procedimientos[codProcedimiento],F240),IF(COUNTIF(tb_medicamentos[codTecnologiaSalud],F240)&gt;0,SUMIF(tb_medicamentos[codTecnologiaSalud],F240,tb_medicamentos[cantidadMedicamento]),IF(COUNTIF(tb_otrosservicios[codTecnologiaSalud],F240)&gt;0,SUMIF(tb_otrosservicios[codTecnologiaSalud],F240,tb_otrosservicios[cantidadOS]),)))),"")</f>
        <v/>
      </c>
      <c r="M240" s="26" t="str">
        <f>IF(F240&lt;&gt;"",IF(COUNTIF(tb_consultas[codConsulta],F240)&gt;0,SUMIF(tb_consultas[codConsulta],F240,tb_consultas[vrServicio]),IF(COUNTIF(tb_procedimientos[codProcedimiento],F240),SUMIF(tb_procedimientos[codProcedimiento],F240,tb_procedimientos[vrServicio]),IF(COUNTIF(tb_medicamentos[codTecnologiaSalud],F240)&gt;0,SUMIF(tb_medicamentos[codTecnologiaSalud],F240,tb_medicamentos[vrServicio]),IF(COUNTIF(tb_otrosservicios[codTecnologiaSalud],F240)&gt;0,SUMIF(tb_otrosservicios[codTecnologiaSalud],F240,tb_otrosservicios[vrServicio]),)))),"")</f>
        <v/>
      </c>
      <c r="N240" s="33"/>
    </row>
    <row r="241" spans="6:14" x14ac:dyDescent="0.25">
      <c r="F241" s="30"/>
      <c r="G241" s="31"/>
      <c r="H241" s="38"/>
      <c r="I241" s="32"/>
      <c r="J241" s="32"/>
      <c r="K241" s="26"/>
      <c r="L241" s="11" t="str">
        <f>IF(F241&lt;&gt;"",IF(COUNTIF(tb_consultas[codConsulta],F241)&gt;0,COUNTIF(tb_consultas[codConsulta],F241),IF(COUNTIF(tb_procedimientos[codProcedimiento],F241),COUNTIF(tb_procedimientos[codProcedimiento],F241),IF(COUNTIF(tb_medicamentos[codTecnologiaSalud],F241)&gt;0,SUMIF(tb_medicamentos[codTecnologiaSalud],F241,tb_medicamentos[cantidadMedicamento]),IF(COUNTIF(tb_otrosservicios[codTecnologiaSalud],F241)&gt;0,SUMIF(tb_otrosservicios[codTecnologiaSalud],F241,tb_otrosservicios[cantidadOS]),)))),"")</f>
        <v/>
      </c>
      <c r="M241" s="26" t="str">
        <f>IF(F241&lt;&gt;"",IF(COUNTIF(tb_consultas[codConsulta],F241)&gt;0,SUMIF(tb_consultas[codConsulta],F241,tb_consultas[vrServicio]),IF(COUNTIF(tb_procedimientos[codProcedimiento],F241),SUMIF(tb_procedimientos[codProcedimiento],F241,tb_procedimientos[vrServicio]),IF(COUNTIF(tb_medicamentos[codTecnologiaSalud],F241)&gt;0,SUMIF(tb_medicamentos[codTecnologiaSalud],F241,tb_medicamentos[vrServicio]),IF(COUNTIF(tb_otrosservicios[codTecnologiaSalud],F241)&gt;0,SUMIF(tb_otrosservicios[codTecnologiaSalud],F241,tb_otrosservicios[vrServicio]),)))),"")</f>
        <v/>
      </c>
      <c r="N241" s="33"/>
    </row>
    <row r="242" spans="6:14" x14ac:dyDescent="0.25">
      <c r="F242" s="30"/>
      <c r="G242" s="31"/>
      <c r="H242" s="38"/>
      <c r="I242" s="32"/>
      <c r="J242" s="32"/>
      <c r="K242" s="26"/>
      <c r="L242" s="11" t="str">
        <f>IF(F242&lt;&gt;"",IF(COUNTIF(tb_consultas[codConsulta],F242)&gt;0,COUNTIF(tb_consultas[codConsulta],F242),IF(COUNTIF(tb_procedimientos[codProcedimiento],F242),COUNTIF(tb_procedimientos[codProcedimiento],F242),IF(COUNTIF(tb_medicamentos[codTecnologiaSalud],F242)&gt;0,SUMIF(tb_medicamentos[codTecnologiaSalud],F242,tb_medicamentos[cantidadMedicamento]),IF(COUNTIF(tb_otrosservicios[codTecnologiaSalud],F242)&gt;0,SUMIF(tb_otrosservicios[codTecnologiaSalud],F242,tb_otrosservicios[cantidadOS]),)))),"")</f>
        <v/>
      </c>
      <c r="M242" s="26" t="str">
        <f>IF(F242&lt;&gt;"",IF(COUNTIF(tb_consultas[codConsulta],F242)&gt;0,SUMIF(tb_consultas[codConsulta],F242,tb_consultas[vrServicio]),IF(COUNTIF(tb_procedimientos[codProcedimiento],F242),SUMIF(tb_procedimientos[codProcedimiento],F242,tb_procedimientos[vrServicio]),IF(COUNTIF(tb_medicamentos[codTecnologiaSalud],F242)&gt;0,SUMIF(tb_medicamentos[codTecnologiaSalud],F242,tb_medicamentos[vrServicio]),IF(COUNTIF(tb_otrosservicios[codTecnologiaSalud],F242)&gt;0,SUMIF(tb_otrosservicios[codTecnologiaSalud],F242,tb_otrosservicios[vrServicio]),)))),"")</f>
        <v/>
      </c>
      <c r="N242" s="33"/>
    </row>
    <row r="243" spans="6:14" x14ac:dyDescent="0.25">
      <c r="F243" s="30"/>
      <c r="G243" s="31"/>
      <c r="H243" s="38"/>
      <c r="I243" s="32"/>
      <c r="J243" s="32"/>
      <c r="K243" s="26"/>
      <c r="L243" s="11" t="str">
        <f>IF(F243&lt;&gt;"",IF(COUNTIF(tb_consultas[codConsulta],F243)&gt;0,COUNTIF(tb_consultas[codConsulta],F243),IF(COUNTIF(tb_procedimientos[codProcedimiento],F243),COUNTIF(tb_procedimientos[codProcedimiento],F243),IF(COUNTIF(tb_medicamentos[codTecnologiaSalud],F243)&gt;0,SUMIF(tb_medicamentos[codTecnologiaSalud],F243,tb_medicamentos[cantidadMedicamento]),IF(COUNTIF(tb_otrosservicios[codTecnologiaSalud],F243)&gt;0,SUMIF(tb_otrosservicios[codTecnologiaSalud],F243,tb_otrosservicios[cantidadOS]),)))),"")</f>
        <v/>
      </c>
      <c r="M243" s="26" t="str">
        <f>IF(F243&lt;&gt;"",IF(COUNTIF(tb_consultas[codConsulta],F243)&gt;0,SUMIF(tb_consultas[codConsulta],F243,tb_consultas[vrServicio]),IF(COUNTIF(tb_procedimientos[codProcedimiento],F243),SUMIF(tb_procedimientos[codProcedimiento],F243,tb_procedimientos[vrServicio]),IF(COUNTIF(tb_medicamentos[codTecnologiaSalud],F243)&gt;0,SUMIF(tb_medicamentos[codTecnologiaSalud],F243,tb_medicamentos[vrServicio]),IF(COUNTIF(tb_otrosservicios[codTecnologiaSalud],F243)&gt;0,SUMIF(tb_otrosservicios[codTecnologiaSalud],F243,tb_otrosservicios[vrServicio]),)))),"")</f>
        <v/>
      </c>
      <c r="N243" s="33"/>
    </row>
    <row r="244" spans="6:14" x14ac:dyDescent="0.25">
      <c r="F244" s="30"/>
      <c r="G244" s="31"/>
      <c r="H244" s="38"/>
      <c r="I244" s="32"/>
      <c r="J244" s="32"/>
      <c r="K244" s="26"/>
      <c r="L244" s="11" t="str">
        <f>IF(F244&lt;&gt;"",IF(COUNTIF(tb_consultas[codConsulta],F244)&gt;0,COUNTIF(tb_consultas[codConsulta],F244),IF(COUNTIF(tb_procedimientos[codProcedimiento],F244),COUNTIF(tb_procedimientos[codProcedimiento],F244),IF(COUNTIF(tb_medicamentos[codTecnologiaSalud],F244)&gt;0,SUMIF(tb_medicamentos[codTecnologiaSalud],F244,tb_medicamentos[cantidadMedicamento]),IF(COUNTIF(tb_otrosservicios[codTecnologiaSalud],F244)&gt;0,SUMIF(tb_otrosservicios[codTecnologiaSalud],F244,tb_otrosservicios[cantidadOS]),)))),"")</f>
        <v/>
      </c>
      <c r="M244" s="26" t="str">
        <f>IF(F244&lt;&gt;"",IF(COUNTIF(tb_consultas[codConsulta],F244)&gt;0,SUMIF(tb_consultas[codConsulta],F244,tb_consultas[vrServicio]),IF(COUNTIF(tb_procedimientos[codProcedimiento],F244),SUMIF(tb_procedimientos[codProcedimiento],F244,tb_procedimientos[vrServicio]),IF(COUNTIF(tb_medicamentos[codTecnologiaSalud],F244)&gt;0,SUMIF(tb_medicamentos[codTecnologiaSalud],F244,tb_medicamentos[vrServicio]),IF(COUNTIF(tb_otrosservicios[codTecnologiaSalud],F244)&gt;0,SUMIF(tb_otrosservicios[codTecnologiaSalud],F244,tb_otrosservicios[vrServicio]),)))),"")</f>
        <v/>
      </c>
      <c r="N244" s="33"/>
    </row>
    <row r="245" spans="6:14" x14ac:dyDescent="0.25">
      <c r="F245" s="30"/>
      <c r="G245" s="31"/>
      <c r="H245" s="38"/>
      <c r="I245" s="32"/>
      <c r="J245" s="32"/>
      <c r="K245" s="26"/>
      <c r="L245" s="11" t="str">
        <f>IF(F245&lt;&gt;"",IF(COUNTIF(tb_consultas[codConsulta],F245)&gt;0,COUNTIF(tb_consultas[codConsulta],F245),IF(COUNTIF(tb_procedimientos[codProcedimiento],F245),COUNTIF(tb_procedimientos[codProcedimiento],F245),IF(COUNTIF(tb_medicamentos[codTecnologiaSalud],F245)&gt;0,SUMIF(tb_medicamentos[codTecnologiaSalud],F245,tb_medicamentos[cantidadMedicamento]),IF(COUNTIF(tb_otrosservicios[codTecnologiaSalud],F245)&gt;0,SUMIF(tb_otrosservicios[codTecnologiaSalud],F245,tb_otrosservicios[cantidadOS]),)))),"")</f>
        <v/>
      </c>
      <c r="M245" s="26" t="str">
        <f>IF(F245&lt;&gt;"",IF(COUNTIF(tb_consultas[codConsulta],F245)&gt;0,SUMIF(tb_consultas[codConsulta],F245,tb_consultas[vrServicio]),IF(COUNTIF(tb_procedimientos[codProcedimiento],F245),SUMIF(tb_procedimientos[codProcedimiento],F245,tb_procedimientos[vrServicio]),IF(COUNTIF(tb_medicamentos[codTecnologiaSalud],F245)&gt;0,SUMIF(tb_medicamentos[codTecnologiaSalud],F245,tb_medicamentos[vrServicio]),IF(COUNTIF(tb_otrosservicios[codTecnologiaSalud],F245)&gt;0,SUMIF(tb_otrosservicios[codTecnologiaSalud],F245,tb_otrosservicios[vrServicio]),)))),"")</f>
        <v/>
      </c>
      <c r="N245" s="33"/>
    </row>
    <row r="246" spans="6:14" x14ac:dyDescent="0.25">
      <c r="F246" s="30"/>
      <c r="G246" s="31"/>
      <c r="H246" s="38"/>
      <c r="I246" s="32"/>
      <c r="J246" s="32"/>
      <c r="K246" s="26"/>
      <c r="L246" s="11" t="str">
        <f>IF(F246&lt;&gt;"",IF(COUNTIF(tb_consultas[codConsulta],F246)&gt;0,COUNTIF(tb_consultas[codConsulta],F246),IF(COUNTIF(tb_procedimientos[codProcedimiento],F246),COUNTIF(tb_procedimientos[codProcedimiento],F246),IF(COUNTIF(tb_medicamentos[codTecnologiaSalud],F246)&gt;0,SUMIF(tb_medicamentos[codTecnologiaSalud],F246,tb_medicamentos[cantidadMedicamento]),IF(COUNTIF(tb_otrosservicios[codTecnologiaSalud],F246)&gt;0,SUMIF(tb_otrosservicios[codTecnologiaSalud],F246,tb_otrosservicios[cantidadOS]),)))),"")</f>
        <v/>
      </c>
      <c r="M246" s="26" t="str">
        <f>IF(F246&lt;&gt;"",IF(COUNTIF(tb_consultas[codConsulta],F246)&gt;0,SUMIF(tb_consultas[codConsulta],F246,tb_consultas[vrServicio]),IF(COUNTIF(tb_procedimientos[codProcedimiento],F246),SUMIF(tb_procedimientos[codProcedimiento],F246,tb_procedimientos[vrServicio]),IF(COUNTIF(tb_medicamentos[codTecnologiaSalud],F246)&gt;0,SUMIF(tb_medicamentos[codTecnologiaSalud],F246,tb_medicamentos[vrServicio]),IF(COUNTIF(tb_otrosservicios[codTecnologiaSalud],F246)&gt;0,SUMIF(tb_otrosservicios[codTecnologiaSalud],F246,tb_otrosservicios[vrServicio]),)))),"")</f>
        <v/>
      </c>
      <c r="N246" s="33"/>
    </row>
    <row r="247" spans="6:14" x14ac:dyDescent="0.25">
      <c r="F247" s="30"/>
      <c r="G247" s="31"/>
      <c r="H247" s="38"/>
      <c r="I247" s="32"/>
      <c r="J247" s="32"/>
      <c r="K247" s="26"/>
      <c r="L247" s="11" t="str">
        <f>IF(F247&lt;&gt;"",IF(COUNTIF(tb_consultas[codConsulta],F247)&gt;0,COUNTIF(tb_consultas[codConsulta],F247),IF(COUNTIF(tb_procedimientos[codProcedimiento],F247),COUNTIF(tb_procedimientos[codProcedimiento],F247),IF(COUNTIF(tb_medicamentos[codTecnologiaSalud],F247)&gt;0,SUMIF(tb_medicamentos[codTecnologiaSalud],F247,tb_medicamentos[cantidadMedicamento]),IF(COUNTIF(tb_otrosservicios[codTecnologiaSalud],F247)&gt;0,SUMIF(tb_otrosservicios[codTecnologiaSalud],F247,tb_otrosservicios[cantidadOS]),)))),"")</f>
        <v/>
      </c>
      <c r="M247" s="26" t="str">
        <f>IF(F247&lt;&gt;"",IF(COUNTIF(tb_consultas[codConsulta],F247)&gt;0,SUMIF(tb_consultas[codConsulta],F247,tb_consultas[vrServicio]),IF(COUNTIF(tb_procedimientos[codProcedimiento],F247),SUMIF(tb_procedimientos[codProcedimiento],F247,tb_procedimientos[vrServicio]),IF(COUNTIF(tb_medicamentos[codTecnologiaSalud],F247)&gt;0,SUMIF(tb_medicamentos[codTecnologiaSalud],F247,tb_medicamentos[vrServicio]),IF(COUNTIF(tb_otrosservicios[codTecnologiaSalud],F247)&gt;0,SUMIF(tb_otrosservicios[codTecnologiaSalud],F247,tb_otrosservicios[vrServicio]),)))),"")</f>
        <v/>
      </c>
      <c r="N247" s="33"/>
    </row>
    <row r="248" spans="6:14" x14ac:dyDescent="0.25">
      <c r="F248" s="30"/>
      <c r="G248" s="31"/>
      <c r="H248" s="38"/>
      <c r="I248" s="32"/>
      <c r="J248" s="32"/>
      <c r="K248" s="26"/>
      <c r="L248" s="11" t="str">
        <f>IF(F248&lt;&gt;"",IF(COUNTIF(tb_consultas[codConsulta],F248)&gt;0,COUNTIF(tb_consultas[codConsulta],F248),IF(COUNTIF(tb_procedimientos[codProcedimiento],F248),COUNTIF(tb_procedimientos[codProcedimiento],F248),IF(COUNTIF(tb_medicamentos[codTecnologiaSalud],F248)&gt;0,SUMIF(tb_medicamentos[codTecnologiaSalud],F248,tb_medicamentos[cantidadMedicamento]),IF(COUNTIF(tb_otrosservicios[codTecnologiaSalud],F248)&gt;0,SUMIF(tb_otrosservicios[codTecnologiaSalud],F248,tb_otrosservicios[cantidadOS]),)))),"")</f>
        <v/>
      </c>
      <c r="M248" s="26" t="str">
        <f>IF(F248&lt;&gt;"",IF(COUNTIF(tb_consultas[codConsulta],F248)&gt;0,SUMIF(tb_consultas[codConsulta],F248,tb_consultas[vrServicio]),IF(COUNTIF(tb_procedimientos[codProcedimiento],F248),SUMIF(tb_procedimientos[codProcedimiento],F248,tb_procedimientos[vrServicio]),IF(COUNTIF(tb_medicamentos[codTecnologiaSalud],F248)&gt;0,SUMIF(tb_medicamentos[codTecnologiaSalud],F248,tb_medicamentos[vrServicio]),IF(COUNTIF(tb_otrosservicios[codTecnologiaSalud],F248)&gt;0,SUMIF(tb_otrosservicios[codTecnologiaSalud],F248,tb_otrosservicios[vrServicio]),)))),"")</f>
        <v/>
      </c>
      <c r="N248" s="33"/>
    </row>
    <row r="249" spans="6:14" x14ac:dyDescent="0.25">
      <c r="F249" s="30"/>
      <c r="G249" s="31"/>
      <c r="H249" s="38"/>
      <c r="I249" s="32"/>
      <c r="J249" s="32"/>
      <c r="K249" s="26"/>
      <c r="L249" s="11" t="str">
        <f>IF(F249&lt;&gt;"",IF(COUNTIF(tb_consultas[codConsulta],F249)&gt;0,COUNTIF(tb_consultas[codConsulta],F249),IF(COUNTIF(tb_procedimientos[codProcedimiento],F249),COUNTIF(tb_procedimientos[codProcedimiento],F249),IF(COUNTIF(tb_medicamentos[codTecnologiaSalud],F249)&gt;0,SUMIF(tb_medicamentos[codTecnologiaSalud],F249,tb_medicamentos[cantidadMedicamento]),IF(COUNTIF(tb_otrosservicios[codTecnologiaSalud],F249)&gt;0,SUMIF(tb_otrosservicios[codTecnologiaSalud],F249,tb_otrosservicios[cantidadOS]),)))),"")</f>
        <v/>
      </c>
      <c r="M249" s="26" t="str">
        <f>IF(F249&lt;&gt;"",IF(COUNTIF(tb_consultas[codConsulta],F249)&gt;0,SUMIF(tb_consultas[codConsulta],F249,tb_consultas[vrServicio]),IF(COUNTIF(tb_procedimientos[codProcedimiento],F249),SUMIF(tb_procedimientos[codProcedimiento],F249,tb_procedimientos[vrServicio]),IF(COUNTIF(tb_medicamentos[codTecnologiaSalud],F249)&gt;0,SUMIF(tb_medicamentos[codTecnologiaSalud],F249,tb_medicamentos[vrServicio]),IF(COUNTIF(tb_otrosservicios[codTecnologiaSalud],F249)&gt;0,SUMIF(tb_otrosservicios[codTecnologiaSalud],F249,tb_otrosservicios[vrServicio]),)))),"")</f>
        <v/>
      </c>
      <c r="N249" s="33"/>
    </row>
    <row r="250" spans="6:14" x14ac:dyDescent="0.25">
      <c r="F250" s="30"/>
      <c r="G250" s="31"/>
      <c r="H250" s="38"/>
      <c r="I250" s="32"/>
      <c r="J250" s="32"/>
      <c r="K250" s="26"/>
      <c r="L250" s="11" t="str">
        <f>IF(F250&lt;&gt;"",IF(COUNTIF(tb_consultas[codConsulta],F250)&gt;0,COUNTIF(tb_consultas[codConsulta],F250),IF(COUNTIF(tb_procedimientos[codProcedimiento],F250),COUNTIF(tb_procedimientos[codProcedimiento],F250),IF(COUNTIF(tb_medicamentos[codTecnologiaSalud],F250)&gt;0,SUMIF(tb_medicamentos[codTecnologiaSalud],F250,tb_medicamentos[cantidadMedicamento]),IF(COUNTIF(tb_otrosservicios[codTecnologiaSalud],F250)&gt;0,SUMIF(tb_otrosservicios[codTecnologiaSalud],F250,tb_otrosservicios[cantidadOS]),)))),"")</f>
        <v/>
      </c>
      <c r="M250" s="26" t="str">
        <f>IF(F250&lt;&gt;"",IF(COUNTIF(tb_consultas[codConsulta],F250)&gt;0,SUMIF(tb_consultas[codConsulta],F250,tb_consultas[vrServicio]),IF(COUNTIF(tb_procedimientos[codProcedimiento],F250),SUMIF(tb_procedimientos[codProcedimiento],F250,tb_procedimientos[vrServicio]),IF(COUNTIF(tb_medicamentos[codTecnologiaSalud],F250)&gt;0,SUMIF(tb_medicamentos[codTecnologiaSalud],F250,tb_medicamentos[vrServicio]),IF(COUNTIF(tb_otrosservicios[codTecnologiaSalud],F250)&gt;0,SUMIF(tb_otrosservicios[codTecnologiaSalud],F250,tb_otrosservicios[vrServicio]),)))),"")</f>
        <v/>
      </c>
      <c r="N250" s="33"/>
    </row>
    <row r="251" spans="6:14" x14ac:dyDescent="0.25">
      <c r="F251" s="30"/>
      <c r="G251" s="31"/>
      <c r="H251" s="38"/>
      <c r="I251" s="32"/>
      <c r="J251" s="32"/>
      <c r="K251" s="26"/>
      <c r="L251" s="11" t="str">
        <f>IF(F251&lt;&gt;"",IF(COUNTIF(tb_consultas[codConsulta],F251)&gt;0,COUNTIF(tb_consultas[codConsulta],F251),IF(COUNTIF(tb_procedimientos[codProcedimiento],F251),COUNTIF(tb_procedimientos[codProcedimiento],F251),IF(COUNTIF(tb_medicamentos[codTecnologiaSalud],F251)&gt;0,SUMIF(tb_medicamentos[codTecnologiaSalud],F251,tb_medicamentos[cantidadMedicamento]),IF(COUNTIF(tb_otrosservicios[codTecnologiaSalud],F251)&gt;0,SUMIF(tb_otrosservicios[codTecnologiaSalud],F251,tb_otrosservicios[cantidadOS]),)))),"")</f>
        <v/>
      </c>
      <c r="M251" s="26" t="str">
        <f>IF(F251&lt;&gt;"",IF(COUNTIF(tb_consultas[codConsulta],F251)&gt;0,SUMIF(tb_consultas[codConsulta],F251,tb_consultas[vrServicio]),IF(COUNTIF(tb_procedimientos[codProcedimiento],F251),SUMIF(tb_procedimientos[codProcedimiento],F251,tb_procedimientos[vrServicio]),IF(COUNTIF(tb_medicamentos[codTecnologiaSalud],F251)&gt;0,SUMIF(tb_medicamentos[codTecnologiaSalud],F251,tb_medicamentos[vrServicio]),IF(COUNTIF(tb_otrosservicios[codTecnologiaSalud],F251)&gt;0,SUMIF(tb_otrosservicios[codTecnologiaSalud],F251,tb_otrosservicios[vrServicio]),)))),"")</f>
        <v/>
      </c>
      <c r="N251" s="33"/>
    </row>
    <row r="252" spans="6:14" x14ac:dyDescent="0.25">
      <c r="F252" s="30"/>
      <c r="G252" s="31"/>
      <c r="H252" s="38"/>
      <c r="I252" s="32"/>
      <c r="J252" s="32"/>
      <c r="K252" s="26"/>
      <c r="L252" s="11" t="str">
        <f>IF(F252&lt;&gt;"",IF(COUNTIF(tb_consultas[codConsulta],F252)&gt;0,COUNTIF(tb_consultas[codConsulta],F252),IF(COUNTIF(tb_procedimientos[codProcedimiento],F252),COUNTIF(tb_procedimientos[codProcedimiento],F252),IF(COUNTIF(tb_medicamentos[codTecnologiaSalud],F252)&gt;0,SUMIF(tb_medicamentos[codTecnologiaSalud],F252,tb_medicamentos[cantidadMedicamento]),IF(COUNTIF(tb_otrosservicios[codTecnologiaSalud],F252)&gt;0,SUMIF(tb_otrosservicios[codTecnologiaSalud],F252,tb_otrosservicios[cantidadOS]),)))),"")</f>
        <v/>
      </c>
      <c r="M252" s="26" t="str">
        <f>IF(F252&lt;&gt;"",IF(COUNTIF(tb_consultas[codConsulta],F252)&gt;0,SUMIF(tb_consultas[codConsulta],F252,tb_consultas[vrServicio]),IF(COUNTIF(tb_procedimientos[codProcedimiento],F252),SUMIF(tb_procedimientos[codProcedimiento],F252,tb_procedimientos[vrServicio]),IF(COUNTIF(tb_medicamentos[codTecnologiaSalud],F252)&gt;0,SUMIF(tb_medicamentos[codTecnologiaSalud],F252,tb_medicamentos[vrServicio]),IF(COUNTIF(tb_otrosservicios[codTecnologiaSalud],F252)&gt;0,SUMIF(tb_otrosservicios[codTecnologiaSalud],F252,tb_otrosservicios[vrServicio]),)))),"")</f>
        <v/>
      </c>
      <c r="N252" s="33"/>
    </row>
    <row r="253" spans="6:14" x14ac:dyDescent="0.25">
      <c r="F253" s="30"/>
      <c r="G253" s="31"/>
      <c r="H253" s="38"/>
      <c r="I253" s="32"/>
      <c r="J253" s="32"/>
      <c r="K253" s="26"/>
      <c r="L253" s="11" t="str">
        <f>IF(F253&lt;&gt;"",IF(COUNTIF(tb_consultas[codConsulta],F253)&gt;0,COUNTIF(tb_consultas[codConsulta],F253),IF(COUNTIF(tb_procedimientos[codProcedimiento],F253),COUNTIF(tb_procedimientos[codProcedimiento],F253),IF(COUNTIF(tb_medicamentos[codTecnologiaSalud],F253)&gt;0,SUMIF(tb_medicamentos[codTecnologiaSalud],F253,tb_medicamentos[cantidadMedicamento]),IF(COUNTIF(tb_otrosservicios[codTecnologiaSalud],F253)&gt;0,SUMIF(tb_otrosservicios[codTecnologiaSalud],F253,tb_otrosservicios[cantidadOS]),)))),"")</f>
        <v/>
      </c>
      <c r="M253" s="26" t="str">
        <f>IF(F253&lt;&gt;"",IF(COUNTIF(tb_consultas[codConsulta],F253)&gt;0,SUMIF(tb_consultas[codConsulta],F253,tb_consultas[vrServicio]),IF(COUNTIF(tb_procedimientos[codProcedimiento],F253),SUMIF(tb_procedimientos[codProcedimiento],F253,tb_procedimientos[vrServicio]),IF(COUNTIF(tb_medicamentos[codTecnologiaSalud],F253)&gt;0,SUMIF(tb_medicamentos[codTecnologiaSalud],F253,tb_medicamentos[vrServicio]),IF(COUNTIF(tb_otrosservicios[codTecnologiaSalud],F253)&gt;0,SUMIF(tb_otrosservicios[codTecnologiaSalud],F253,tb_otrosservicios[vrServicio]),)))),"")</f>
        <v/>
      </c>
      <c r="N253" s="33"/>
    </row>
    <row r="254" spans="6:14" x14ac:dyDescent="0.25">
      <c r="F254" s="30"/>
      <c r="G254" s="31"/>
      <c r="H254" s="38"/>
      <c r="I254" s="32"/>
      <c r="J254" s="32"/>
      <c r="K254" s="26"/>
      <c r="L254" s="11" t="str">
        <f>IF(F254&lt;&gt;"",IF(COUNTIF(tb_consultas[codConsulta],F254)&gt;0,COUNTIF(tb_consultas[codConsulta],F254),IF(COUNTIF(tb_procedimientos[codProcedimiento],F254),COUNTIF(tb_procedimientos[codProcedimiento],F254),IF(COUNTIF(tb_medicamentos[codTecnologiaSalud],F254)&gt;0,SUMIF(tb_medicamentos[codTecnologiaSalud],F254,tb_medicamentos[cantidadMedicamento]),IF(COUNTIF(tb_otrosservicios[codTecnologiaSalud],F254)&gt;0,SUMIF(tb_otrosservicios[codTecnologiaSalud],F254,tb_otrosservicios[cantidadOS]),)))),"")</f>
        <v/>
      </c>
      <c r="M254" s="26" t="str">
        <f>IF(F254&lt;&gt;"",IF(COUNTIF(tb_consultas[codConsulta],F254)&gt;0,SUMIF(tb_consultas[codConsulta],F254,tb_consultas[vrServicio]),IF(COUNTIF(tb_procedimientos[codProcedimiento],F254),SUMIF(tb_procedimientos[codProcedimiento],F254,tb_procedimientos[vrServicio]),IF(COUNTIF(tb_medicamentos[codTecnologiaSalud],F254)&gt;0,SUMIF(tb_medicamentos[codTecnologiaSalud],F254,tb_medicamentos[vrServicio]),IF(COUNTIF(tb_otrosservicios[codTecnologiaSalud],F254)&gt;0,SUMIF(tb_otrosservicios[codTecnologiaSalud],F254,tb_otrosservicios[vrServicio]),)))),"")</f>
        <v/>
      </c>
      <c r="N254" s="33"/>
    </row>
    <row r="255" spans="6:14" x14ac:dyDescent="0.25">
      <c r="F255" s="30"/>
      <c r="G255" s="31"/>
      <c r="H255" s="38"/>
      <c r="I255" s="32"/>
      <c r="J255" s="32"/>
      <c r="K255" s="26"/>
      <c r="L255" s="11" t="str">
        <f>IF(F255&lt;&gt;"",IF(COUNTIF(tb_consultas[codConsulta],F255)&gt;0,COUNTIF(tb_consultas[codConsulta],F255),IF(COUNTIF(tb_procedimientos[codProcedimiento],F255),COUNTIF(tb_procedimientos[codProcedimiento],F255),IF(COUNTIF(tb_medicamentos[codTecnologiaSalud],F255)&gt;0,SUMIF(tb_medicamentos[codTecnologiaSalud],F255,tb_medicamentos[cantidadMedicamento]),IF(COUNTIF(tb_otrosservicios[codTecnologiaSalud],F255)&gt;0,SUMIF(tb_otrosservicios[codTecnologiaSalud],F255,tb_otrosservicios[cantidadOS]),)))),"")</f>
        <v/>
      </c>
      <c r="M255" s="26" t="str">
        <f>IF(F255&lt;&gt;"",IF(COUNTIF(tb_consultas[codConsulta],F255)&gt;0,SUMIF(tb_consultas[codConsulta],F255,tb_consultas[vrServicio]),IF(COUNTIF(tb_procedimientos[codProcedimiento],F255),SUMIF(tb_procedimientos[codProcedimiento],F255,tb_procedimientos[vrServicio]),IF(COUNTIF(tb_medicamentos[codTecnologiaSalud],F255)&gt;0,SUMIF(tb_medicamentos[codTecnologiaSalud],F255,tb_medicamentos[vrServicio]),IF(COUNTIF(tb_otrosservicios[codTecnologiaSalud],F255)&gt;0,SUMIF(tb_otrosservicios[codTecnologiaSalud],F255,tb_otrosservicios[vrServicio]),)))),"")</f>
        <v/>
      </c>
      <c r="N255" s="33"/>
    </row>
    <row r="256" spans="6:14" x14ac:dyDescent="0.25">
      <c r="F256" s="30"/>
      <c r="G256" s="31"/>
      <c r="H256" s="38"/>
      <c r="I256" s="32"/>
      <c r="J256" s="32"/>
      <c r="K256" s="26"/>
      <c r="L256" s="11" t="str">
        <f>IF(F256&lt;&gt;"",IF(COUNTIF(tb_consultas[codConsulta],F256)&gt;0,COUNTIF(tb_consultas[codConsulta],F256),IF(COUNTIF(tb_procedimientos[codProcedimiento],F256),COUNTIF(tb_procedimientos[codProcedimiento],F256),IF(COUNTIF(tb_medicamentos[codTecnologiaSalud],F256)&gt;0,SUMIF(tb_medicamentos[codTecnologiaSalud],F256,tb_medicamentos[cantidadMedicamento]),IF(COUNTIF(tb_otrosservicios[codTecnologiaSalud],F256)&gt;0,SUMIF(tb_otrosservicios[codTecnologiaSalud],F256,tb_otrosservicios[cantidadOS]),)))),"")</f>
        <v/>
      </c>
      <c r="M256" s="26" t="str">
        <f>IF(F256&lt;&gt;"",IF(COUNTIF(tb_consultas[codConsulta],F256)&gt;0,SUMIF(tb_consultas[codConsulta],F256,tb_consultas[vrServicio]),IF(COUNTIF(tb_procedimientos[codProcedimiento],F256),SUMIF(tb_procedimientos[codProcedimiento],F256,tb_procedimientos[vrServicio]),IF(COUNTIF(tb_medicamentos[codTecnologiaSalud],F256)&gt;0,SUMIF(tb_medicamentos[codTecnologiaSalud],F256,tb_medicamentos[vrServicio]),IF(COUNTIF(tb_otrosservicios[codTecnologiaSalud],F256)&gt;0,SUMIF(tb_otrosservicios[codTecnologiaSalud],F256,tb_otrosservicios[vrServicio]),)))),"")</f>
        <v/>
      </c>
      <c r="N256" s="33"/>
    </row>
    <row r="257" spans="6:14" x14ac:dyDescent="0.25">
      <c r="F257" s="30"/>
      <c r="G257" s="31"/>
      <c r="H257" s="38"/>
      <c r="I257" s="32"/>
      <c r="J257" s="32"/>
      <c r="K257" s="26"/>
      <c r="L257" s="11" t="str">
        <f>IF(F257&lt;&gt;"",IF(COUNTIF(tb_consultas[codConsulta],F257)&gt;0,COUNTIF(tb_consultas[codConsulta],F257),IF(COUNTIF(tb_procedimientos[codProcedimiento],F257),COUNTIF(tb_procedimientos[codProcedimiento],F257),IF(COUNTIF(tb_medicamentos[codTecnologiaSalud],F257)&gt;0,SUMIF(tb_medicamentos[codTecnologiaSalud],F257,tb_medicamentos[cantidadMedicamento]),IF(COUNTIF(tb_otrosservicios[codTecnologiaSalud],F257)&gt;0,SUMIF(tb_otrosservicios[codTecnologiaSalud],F257,tb_otrosservicios[cantidadOS]),)))),"")</f>
        <v/>
      </c>
      <c r="M257" s="26" t="str">
        <f>IF(F257&lt;&gt;"",IF(COUNTIF(tb_consultas[codConsulta],F257)&gt;0,SUMIF(tb_consultas[codConsulta],F257,tb_consultas[vrServicio]),IF(COUNTIF(tb_procedimientos[codProcedimiento],F257),SUMIF(tb_procedimientos[codProcedimiento],F257,tb_procedimientos[vrServicio]),IF(COUNTIF(tb_medicamentos[codTecnologiaSalud],F257)&gt;0,SUMIF(tb_medicamentos[codTecnologiaSalud],F257,tb_medicamentos[vrServicio]),IF(COUNTIF(tb_otrosservicios[codTecnologiaSalud],F257)&gt;0,SUMIF(tb_otrosservicios[codTecnologiaSalud],F257,tb_otrosservicios[vrServicio]),)))),"")</f>
        <v/>
      </c>
      <c r="N257" s="33"/>
    </row>
    <row r="258" spans="6:14" x14ac:dyDescent="0.25">
      <c r="F258" s="30"/>
      <c r="G258" s="31"/>
      <c r="H258" s="38"/>
      <c r="I258" s="32"/>
      <c r="J258" s="32"/>
      <c r="K258" s="26"/>
      <c r="L258" s="11" t="str">
        <f>IF(F258&lt;&gt;"",IF(COUNTIF(tb_consultas[codConsulta],F258)&gt;0,COUNTIF(tb_consultas[codConsulta],F258),IF(COUNTIF(tb_procedimientos[codProcedimiento],F258),COUNTIF(tb_procedimientos[codProcedimiento],F258),IF(COUNTIF(tb_medicamentos[codTecnologiaSalud],F258)&gt;0,SUMIF(tb_medicamentos[codTecnologiaSalud],F258,tb_medicamentos[cantidadMedicamento]),IF(COUNTIF(tb_otrosservicios[codTecnologiaSalud],F258)&gt;0,SUMIF(tb_otrosservicios[codTecnologiaSalud],F258,tb_otrosservicios[cantidadOS]),)))),"")</f>
        <v/>
      </c>
      <c r="M258" s="26" t="str">
        <f>IF(F258&lt;&gt;"",IF(COUNTIF(tb_consultas[codConsulta],F258)&gt;0,SUMIF(tb_consultas[codConsulta],F258,tb_consultas[vrServicio]),IF(COUNTIF(tb_procedimientos[codProcedimiento],F258),SUMIF(tb_procedimientos[codProcedimiento],F258,tb_procedimientos[vrServicio]),IF(COUNTIF(tb_medicamentos[codTecnologiaSalud],F258)&gt;0,SUMIF(tb_medicamentos[codTecnologiaSalud],F258,tb_medicamentos[vrServicio]),IF(COUNTIF(tb_otrosservicios[codTecnologiaSalud],F258)&gt;0,SUMIF(tb_otrosservicios[codTecnologiaSalud],F258,tb_otrosservicios[vrServicio]),)))),"")</f>
        <v/>
      </c>
      <c r="N258" s="33"/>
    </row>
    <row r="259" spans="6:14" x14ac:dyDescent="0.25">
      <c r="F259" s="30"/>
      <c r="G259" s="31"/>
      <c r="H259" s="38"/>
      <c r="I259" s="32"/>
      <c r="J259" s="32"/>
      <c r="K259" s="26"/>
      <c r="L259" s="11" t="str">
        <f>IF(F259&lt;&gt;"",IF(COUNTIF(tb_consultas[codConsulta],F259)&gt;0,COUNTIF(tb_consultas[codConsulta],F259),IF(COUNTIF(tb_procedimientos[codProcedimiento],F259),COUNTIF(tb_procedimientos[codProcedimiento],F259),IF(COUNTIF(tb_medicamentos[codTecnologiaSalud],F259)&gt;0,SUMIF(tb_medicamentos[codTecnologiaSalud],F259,tb_medicamentos[cantidadMedicamento]),IF(COUNTIF(tb_otrosservicios[codTecnologiaSalud],F259)&gt;0,SUMIF(tb_otrosservicios[codTecnologiaSalud],F259,tb_otrosservicios[cantidadOS]),)))),"")</f>
        <v/>
      </c>
      <c r="M259" s="26" t="str">
        <f>IF(F259&lt;&gt;"",IF(COUNTIF(tb_consultas[codConsulta],F259)&gt;0,SUMIF(tb_consultas[codConsulta],F259,tb_consultas[vrServicio]),IF(COUNTIF(tb_procedimientos[codProcedimiento],F259),SUMIF(tb_procedimientos[codProcedimiento],F259,tb_procedimientos[vrServicio]),IF(COUNTIF(tb_medicamentos[codTecnologiaSalud],F259)&gt;0,SUMIF(tb_medicamentos[codTecnologiaSalud],F259,tb_medicamentos[vrServicio]),IF(COUNTIF(tb_otrosservicios[codTecnologiaSalud],F259)&gt;0,SUMIF(tb_otrosservicios[codTecnologiaSalud],F259,tb_otrosservicios[vrServicio]),)))),"")</f>
        <v/>
      </c>
      <c r="N259" s="33"/>
    </row>
    <row r="260" spans="6:14" x14ac:dyDescent="0.25">
      <c r="F260" s="30"/>
      <c r="G260" s="31"/>
      <c r="H260" s="38"/>
      <c r="I260" s="32"/>
      <c r="J260" s="32"/>
      <c r="K260" s="26"/>
      <c r="L260" s="11" t="str">
        <f>IF(F260&lt;&gt;"",IF(COUNTIF(tb_consultas[codConsulta],F260)&gt;0,COUNTIF(tb_consultas[codConsulta],F260),IF(COUNTIF(tb_procedimientos[codProcedimiento],F260),COUNTIF(tb_procedimientos[codProcedimiento],F260),IF(COUNTIF(tb_medicamentos[codTecnologiaSalud],F260)&gt;0,SUMIF(tb_medicamentos[codTecnologiaSalud],F260,tb_medicamentos[cantidadMedicamento]),IF(COUNTIF(tb_otrosservicios[codTecnologiaSalud],F260)&gt;0,SUMIF(tb_otrosservicios[codTecnologiaSalud],F260,tb_otrosservicios[cantidadOS]),)))),"")</f>
        <v/>
      </c>
      <c r="M260" s="26" t="str">
        <f>IF(F260&lt;&gt;"",IF(COUNTIF(tb_consultas[codConsulta],F260)&gt;0,SUMIF(tb_consultas[codConsulta],F260,tb_consultas[vrServicio]),IF(COUNTIF(tb_procedimientos[codProcedimiento],F260),SUMIF(tb_procedimientos[codProcedimiento],F260,tb_procedimientos[vrServicio]),IF(COUNTIF(tb_medicamentos[codTecnologiaSalud],F260)&gt;0,SUMIF(tb_medicamentos[codTecnologiaSalud],F260,tb_medicamentos[vrServicio]),IF(COUNTIF(tb_otrosservicios[codTecnologiaSalud],F260)&gt;0,SUMIF(tb_otrosservicios[codTecnologiaSalud],F260,tb_otrosservicios[vrServicio]),)))),"")</f>
        <v/>
      </c>
      <c r="N260" s="33"/>
    </row>
    <row r="261" spans="6:14" x14ac:dyDescent="0.25">
      <c r="F261" s="30"/>
      <c r="G261" s="31"/>
      <c r="H261" s="38"/>
      <c r="I261" s="32"/>
      <c r="J261" s="32"/>
      <c r="K261" s="26"/>
      <c r="L261" s="11" t="str">
        <f>IF(F261&lt;&gt;"",IF(COUNTIF(tb_consultas[codConsulta],F261)&gt;0,COUNTIF(tb_consultas[codConsulta],F261),IF(COUNTIF(tb_procedimientos[codProcedimiento],F261),COUNTIF(tb_procedimientos[codProcedimiento],F261),IF(COUNTIF(tb_medicamentos[codTecnologiaSalud],F261)&gt;0,SUMIF(tb_medicamentos[codTecnologiaSalud],F261,tb_medicamentos[cantidadMedicamento]),IF(COUNTIF(tb_otrosservicios[codTecnologiaSalud],F261)&gt;0,SUMIF(tb_otrosservicios[codTecnologiaSalud],F261,tb_otrosservicios[cantidadOS]),)))),"")</f>
        <v/>
      </c>
      <c r="M261" s="26" t="str">
        <f>IF(F261&lt;&gt;"",IF(COUNTIF(tb_consultas[codConsulta],F261)&gt;0,SUMIF(tb_consultas[codConsulta],F261,tb_consultas[vrServicio]),IF(COUNTIF(tb_procedimientos[codProcedimiento],F261),SUMIF(tb_procedimientos[codProcedimiento],F261,tb_procedimientos[vrServicio]),IF(COUNTIF(tb_medicamentos[codTecnologiaSalud],F261)&gt;0,SUMIF(tb_medicamentos[codTecnologiaSalud],F261,tb_medicamentos[vrServicio]),IF(COUNTIF(tb_otrosservicios[codTecnologiaSalud],F261)&gt;0,SUMIF(tb_otrosservicios[codTecnologiaSalud],F261,tb_otrosservicios[vrServicio]),)))),"")</f>
        <v/>
      </c>
      <c r="N261" s="33"/>
    </row>
    <row r="262" spans="6:14" x14ac:dyDescent="0.25">
      <c r="F262" s="30"/>
      <c r="G262" s="31"/>
      <c r="H262" s="38"/>
      <c r="I262" s="32"/>
      <c r="J262" s="32"/>
      <c r="K262" s="26"/>
      <c r="L262" s="11" t="str">
        <f>IF(F262&lt;&gt;"",IF(COUNTIF(tb_consultas[codConsulta],F262)&gt;0,COUNTIF(tb_consultas[codConsulta],F262),IF(COUNTIF(tb_procedimientos[codProcedimiento],F262),COUNTIF(tb_procedimientos[codProcedimiento],F262),IF(COUNTIF(tb_medicamentos[codTecnologiaSalud],F262)&gt;0,SUMIF(tb_medicamentos[codTecnologiaSalud],F262,tb_medicamentos[cantidadMedicamento]),IF(COUNTIF(tb_otrosservicios[codTecnologiaSalud],F262)&gt;0,SUMIF(tb_otrosservicios[codTecnologiaSalud],F262,tb_otrosservicios[cantidadOS]),)))),"")</f>
        <v/>
      </c>
      <c r="M262" s="26" t="str">
        <f>IF(F262&lt;&gt;"",IF(COUNTIF(tb_consultas[codConsulta],F262)&gt;0,SUMIF(tb_consultas[codConsulta],F262,tb_consultas[vrServicio]),IF(COUNTIF(tb_procedimientos[codProcedimiento],F262),SUMIF(tb_procedimientos[codProcedimiento],F262,tb_procedimientos[vrServicio]),IF(COUNTIF(tb_medicamentos[codTecnologiaSalud],F262)&gt;0,SUMIF(tb_medicamentos[codTecnologiaSalud],F262,tb_medicamentos[vrServicio]),IF(COUNTIF(tb_otrosservicios[codTecnologiaSalud],F262)&gt;0,SUMIF(tb_otrosservicios[codTecnologiaSalud],F262,tb_otrosservicios[vrServicio]),)))),"")</f>
        <v/>
      </c>
      <c r="N262" s="33"/>
    </row>
    <row r="263" spans="6:14" x14ac:dyDescent="0.25">
      <c r="F263" s="30"/>
      <c r="G263" s="31"/>
      <c r="H263" s="38"/>
      <c r="I263" s="32"/>
      <c r="J263" s="32"/>
      <c r="K263" s="26"/>
      <c r="L263" s="11" t="str">
        <f>IF(F263&lt;&gt;"",IF(COUNTIF(tb_consultas[codConsulta],F263)&gt;0,COUNTIF(tb_consultas[codConsulta],F263),IF(COUNTIF(tb_procedimientos[codProcedimiento],F263),COUNTIF(tb_procedimientos[codProcedimiento],F263),IF(COUNTIF(tb_medicamentos[codTecnologiaSalud],F263)&gt;0,SUMIF(tb_medicamentos[codTecnologiaSalud],F263,tb_medicamentos[cantidadMedicamento]),IF(COUNTIF(tb_otrosservicios[codTecnologiaSalud],F263)&gt;0,SUMIF(tb_otrosservicios[codTecnologiaSalud],F263,tb_otrosservicios[cantidadOS]),)))),"")</f>
        <v/>
      </c>
      <c r="M263" s="26" t="str">
        <f>IF(F263&lt;&gt;"",IF(COUNTIF(tb_consultas[codConsulta],F263)&gt;0,SUMIF(tb_consultas[codConsulta],F263,tb_consultas[vrServicio]),IF(COUNTIF(tb_procedimientos[codProcedimiento],F263),SUMIF(tb_procedimientos[codProcedimiento],F263,tb_procedimientos[vrServicio]),IF(COUNTIF(tb_medicamentos[codTecnologiaSalud],F263)&gt;0,SUMIF(tb_medicamentos[codTecnologiaSalud],F263,tb_medicamentos[vrServicio]),IF(COUNTIF(tb_otrosservicios[codTecnologiaSalud],F263)&gt;0,SUMIF(tb_otrosservicios[codTecnologiaSalud],F263,tb_otrosservicios[vrServicio]),)))),"")</f>
        <v/>
      </c>
      <c r="N263" s="33"/>
    </row>
    <row r="264" spans="6:14" x14ac:dyDescent="0.25">
      <c r="F264" s="30"/>
      <c r="G264" s="31"/>
      <c r="H264" s="38"/>
      <c r="I264" s="32"/>
      <c r="J264" s="32"/>
      <c r="K264" s="26"/>
      <c r="L264" s="11" t="str">
        <f>IF(F264&lt;&gt;"",IF(COUNTIF(tb_consultas[codConsulta],F264)&gt;0,COUNTIF(tb_consultas[codConsulta],F264),IF(COUNTIF(tb_procedimientos[codProcedimiento],F264),COUNTIF(tb_procedimientos[codProcedimiento],F264),IF(COUNTIF(tb_medicamentos[codTecnologiaSalud],F264)&gt;0,SUMIF(tb_medicamentos[codTecnologiaSalud],F264,tb_medicamentos[cantidadMedicamento]),IF(COUNTIF(tb_otrosservicios[codTecnologiaSalud],F264)&gt;0,SUMIF(tb_otrosservicios[codTecnologiaSalud],F264,tb_otrosservicios[cantidadOS]),)))),"")</f>
        <v/>
      </c>
      <c r="M264" s="26" t="str">
        <f>IF(F264&lt;&gt;"",IF(COUNTIF(tb_consultas[codConsulta],F264)&gt;0,SUMIF(tb_consultas[codConsulta],F264,tb_consultas[vrServicio]),IF(COUNTIF(tb_procedimientos[codProcedimiento],F264),SUMIF(tb_procedimientos[codProcedimiento],F264,tb_procedimientos[vrServicio]),IF(COUNTIF(tb_medicamentos[codTecnologiaSalud],F264)&gt;0,SUMIF(tb_medicamentos[codTecnologiaSalud],F264,tb_medicamentos[vrServicio]),IF(COUNTIF(tb_otrosservicios[codTecnologiaSalud],F264)&gt;0,SUMIF(tb_otrosservicios[codTecnologiaSalud],F264,tb_otrosservicios[vrServicio]),)))),"")</f>
        <v/>
      </c>
      <c r="N264" s="33"/>
    </row>
    <row r="265" spans="6:14" x14ac:dyDescent="0.25">
      <c r="F265" s="30"/>
      <c r="G265" s="31"/>
      <c r="H265" s="38"/>
      <c r="I265" s="32"/>
      <c r="J265" s="32"/>
      <c r="K265" s="26"/>
      <c r="L265" s="11" t="str">
        <f>IF(F265&lt;&gt;"",IF(COUNTIF(tb_consultas[codConsulta],F265)&gt;0,COUNTIF(tb_consultas[codConsulta],F265),IF(COUNTIF(tb_procedimientos[codProcedimiento],F265),COUNTIF(tb_procedimientos[codProcedimiento],F265),IF(COUNTIF(tb_medicamentos[codTecnologiaSalud],F265)&gt;0,SUMIF(tb_medicamentos[codTecnologiaSalud],F265,tb_medicamentos[cantidadMedicamento]),IF(COUNTIF(tb_otrosservicios[codTecnologiaSalud],F265)&gt;0,SUMIF(tb_otrosservicios[codTecnologiaSalud],F265,tb_otrosservicios[cantidadOS]),)))),"")</f>
        <v/>
      </c>
      <c r="M265" s="26" t="str">
        <f>IF(F265&lt;&gt;"",IF(COUNTIF(tb_consultas[codConsulta],F265)&gt;0,SUMIF(tb_consultas[codConsulta],F265,tb_consultas[vrServicio]),IF(COUNTIF(tb_procedimientos[codProcedimiento],F265),SUMIF(tb_procedimientos[codProcedimiento],F265,tb_procedimientos[vrServicio]),IF(COUNTIF(tb_medicamentos[codTecnologiaSalud],F265)&gt;0,SUMIF(tb_medicamentos[codTecnologiaSalud],F265,tb_medicamentos[vrServicio]),IF(COUNTIF(tb_otrosservicios[codTecnologiaSalud],F265)&gt;0,SUMIF(tb_otrosservicios[codTecnologiaSalud],F265,tb_otrosservicios[vrServicio]),)))),"")</f>
        <v/>
      </c>
      <c r="N265" s="33"/>
    </row>
    <row r="266" spans="6:14" x14ac:dyDescent="0.25">
      <c r="F266" s="30"/>
      <c r="G266" s="31"/>
      <c r="H266" s="38"/>
      <c r="I266" s="32"/>
      <c r="J266" s="32"/>
      <c r="K266" s="26"/>
      <c r="L266" s="11" t="str">
        <f>IF(F266&lt;&gt;"",IF(COUNTIF(tb_consultas[codConsulta],F266)&gt;0,COUNTIF(tb_consultas[codConsulta],F266),IF(COUNTIF(tb_procedimientos[codProcedimiento],F266),COUNTIF(tb_procedimientos[codProcedimiento],F266),IF(COUNTIF(tb_medicamentos[codTecnologiaSalud],F266)&gt;0,SUMIF(tb_medicamentos[codTecnologiaSalud],F266,tb_medicamentos[cantidadMedicamento]),IF(COUNTIF(tb_otrosservicios[codTecnologiaSalud],F266)&gt;0,SUMIF(tb_otrosservicios[codTecnologiaSalud],F266,tb_otrosservicios[cantidadOS]),)))),"")</f>
        <v/>
      </c>
      <c r="M266" s="26" t="str">
        <f>IF(F266&lt;&gt;"",IF(COUNTIF(tb_consultas[codConsulta],F266)&gt;0,SUMIF(tb_consultas[codConsulta],F266,tb_consultas[vrServicio]),IF(COUNTIF(tb_procedimientos[codProcedimiento],F266),SUMIF(tb_procedimientos[codProcedimiento],F266,tb_procedimientos[vrServicio]),IF(COUNTIF(tb_medicamentos[codTecnologiaSalud],F266)&gt;0,SUMIF(tb_medicamentos[codTecnologiaSalud],F266,tb_medicamentos[vrServicio]),IF(COUNTIF(tb_otrosservicios[codTecnologiaSalud],F266)&gt;0,SUMIF(tb_otrosservicios[codTecnologiaSalud],F266,tb_otrosservicios[vrServicio]),)))),"")</f>
        <v/>
      </c>
      <c r="N266" s="33"/>
    </row>
    <row r="267" spans="6:14" x14ac:dyDescent="0.25">
      <c r="F267" s="30"/>
      <c r="G267" s="31"/>
      <c r="H267" s="38"/>
      <c r="I267" s="32"/>
      <c r="J267" s="32"/>
      <c r="K267" s="26"/>
      <c r="L267" s="11" t="str">
        <f>IF(F267&lt;&gt;"",IF(COUNTIF(tb_consultas[codConsulta],F267)&gt;0,COUNTIF(tb_consultas[codConsulta],F267),IF(COUNTIF(tb_procedimientos[codProcedimiento],F267),COUNTIF(tb_procedimientos[codProcedimiento],F267),IF(COUNTIF(tb_medicamentos[codTecnologiaSalud],F267)&gt;0,SUMIF(tb_medicamentos[codTecnologiaSalud],F267,tb_medicamentos[cantidadMedicamento]),IF(COUNTIF(tb_otrosservicios[codTecnologiaSalud],F267)&gt;0,SUMIF(tb_otrosservicios[codTecnologiaSalud],F267,tb_otrosservicios[cantidadOS]),)))),"")</f>
        <v/>
      </c>
      <c r="M267" s="26" t="str">
        <f>IF(F267&lt;&gt;"",IF(COUNTIF(tb_consultas[codConsulta],F267)&gt;0,SUMIF(tb_consultas[codConsulta],F267,tb_consultas[vrServicio]),IF(COUNTIF(tb_procedimientos[codProcedimiento],F267),SUMIF(tb_procedimientos[codProcedimiento],F267,tb_procedimientos[vrServicio]),IF(COUNTIF(tb_medicamentos[codTecnologiaSalud],F267)&gt;0,SUMIF(tb_medicamentos[codTecnologiaSalud],F267,tb_medicamentos[vrServicio]),IF(COUNTIF(tb_otrosservicios[codTecnologiaSalud],F267)&gt;0,SUMIF(tb_otrosservicios[codTecnologiaSalud],F267,tb_otrosservicios[vrServicio]),)))),"")</f>
        <v/>
      </c>
      <c r="N267" s="33"/>
    </row>
    <row r="268" spans="6:14" x14ac:dyDescent="0.25">
      <c r="F268" s="30"/>
      <c r="G268" s="31"/>
      <c r="H268" s="38"/>
      <c r="I268" s="32"/>
      <c r="J268" s="32"/>
      <c r="K268" s="26"/>
      <c r="L268" s="11" t="str">
        <f>IF(F268&lt;&gt;"",IF(COUNTIF(tb_consultas[codConsulta],F268)&gt;0,COUNTIF(tb_consultas[codConsulta],F268),IF(COUNTIF(tb_procedimientos[codProcedimiento],F268),COUNTIF(tb_procedimientos[codProcedimiento],F268),IF(COUNTIF(tb_medicamentos[codTecnologiaSalud],F268)&gt;0,SUMIF(tb_medicamentos[codTecnologiaSalud],F268,tb_medicamentos[cantidadMedicamento]),IF(COUNTIF(tb_otrosservicios[codTecnologiaSalud],F268)&gt;0,SUMIF(tb_otrosservicios[codTecnologiaSalud],F268,tb_otrosservicios[cantidadOS]),)))),"")</f>
        <v/>
      </c>
      <c r="M268" s="26" t="str">
        <f>IF(F268&lt;&gt;"",IF(COUNTIF(tb_consultas[codConsulta],F268)&gt;0,SUMIF(tb_consultas[codConsulta],F268,tb_consultas[vrServicio]),IF(COUNTIF(tb_procedimientos[codProcedimiento],F268),SUMIF(tb_procedimientos[codProcedimiento],F268,tb_procedimientos[vrServicio]),IF(COUNTIF(tb_medicamentos[codTecnologiaSalud],F268)&gt;0,SUMIF(tb_medicamentos[codTecnologiaSalud],F268,tb_medicamentos[vrServicio]),IF(COUNTIF(tb_otrosservicios[codTecnologiaSalud],F268)&gt;0,SUMIF(tb_otrosservicios[codTecnologiaSalud],F268,tb_otrosservicios[vrServicio]),)))),"")</f>
        <v/>
      </c>
      <c r="N268" s="33"/>
    </row>
    <row r="269" spans="6:14" x14ac:dyDescent="0.25">
      <c r="F269" s="30"/>
      <c r="G269" s="31"/>
      <c r="H269" s="38"/>
      <c r="I269" s="32"/>
      <c r="J269" s="32"/>
      <c r="K269" s="26"/>
      <c r="L269" s="11" t="str">
        <f>IF(F269&lt;&gt;"",IF(COUNTIF(tb_consultas[codConsulta],F269)&gt;0,COUNTIF(tb_consultas[codConsulta],F269),IF(COUNTIF(tb_procedimientos[codProcedimiento],F269),COUNTIF(tb_procedimientos[codProcedimiento],F269),IF(COUNTIF(tb_medicamentos[codTecnologiaSalud],F269)&gt;0,SUMIF(tb_medicamentos[codTecnologiaSalud],F269,tb_medicamentos[cantidadMedicamento]),IF(COUNTIF(tb_otrosservicios[codTecnologiaSalud],F269)&gt;0,SUMIF(tb_otrosservicios[codTecnologiaSalud],F269,tb_otrosservicios[cantidadOS]),)))),"")</f>
        <v/>
      </c>
      <c r="M269" s="26" t="str">
        <f>IF(F269&lt;&gt;"",IF(COUNTIF(tb_consultas[codConsulta],F269)&gt;0,SUMIF(tb_consultas[codConsulta],F269,tb_consultas[vrServicio]),IF(COUNTIF(tb_procedimientos[codProcedimiento],F269),SUMIF(tb_procedimientos[codProcedimiento],F269,tb_procedimientos[vrServicio]),IF(COUNTIF(tb_medicamentos[codTecnologiaSalud],F269)&gt;0,SUMIF(tb_medicamentos[codTecnologiaSalud],F269,tb_medicamentos[vrServicio]),IF(COUNTIF(tb_otrosservicios[codTecnologiaSalud],F269)&gt;0,SUMIF(tb_otrosservicios[codTecnologiaSalud],F269,tb_otrosservicios[vrServicio]),)))),"")</f>
        <v/>
      </c>
      <c r="N269" s="33"/>
    </row>
    <row r="270" spans="6:14" x14ac:dyDescent="0.25">
      <c r="F270" s="30"/>
      <c r="G270" s="31"/>
      <c r="H270" s="38"/>
      <c r="I270" s="32"/>
      <c r="J270" s="32"/>
      <c r="K270" s="26"/>
      <c r="L270" s="11" t="str">
        <f>IF(F270&lt;&gt;"",IF(COUNTIF(tb_consultas[codConsulta],F270)&gt;0,COUNTIF(tb_consultas[codConsulta],F270),IF(COUNTIF(tb_procedimientos[codProcedimiento],F270),COUNTIF(tb_procedimientos[codProcedimiento],F270),IF(COUNTIF(tb_medicamentos[codTecnologiaSalud],F270)&gt;0,SUMIF(tb_medicamentos[codTecnologiaSalud],F270,tb_medicamentos[cantidadMedicamento]),IF(COUNTIF(tb_otrosservicios[codTecnologiaSalud],F270)&gt;0,SUMIF(tb_otrosservicios[codTecnologiaSalud],F270,tb_otrosservicios[cantidadOS]),)))),"")</f>
        <v/>
      </c>
      <c r="M270" s="26" t="str">
        <f>IF(F270&lt;&gt;"",IF(COUNTIF(tb_consultas[codConsulta],F270)&gt;0,SUMIF(tb_consultas[codConsulta],F270,tb_consultas[vrServicio]),IF(COUNTIF(tb_procedimientos[codProcedimiento],F270),SUMIF(tb_procedimientos[codProcedimiento],F270,tb_procedimientos[vrServicio]),IF(COUNTIF(tb_medicamentos[codTecnologiaSalud],F270)&gt;0,SUMIF(tb_medicamentos[codTecnologiaSalud],F270,tb_medicamentos[vrServicio]),IF(COUNTIF(tb_otrosservicios[codTecnologiaSalud],F270)&gt;0,SUMIF(tb_otrosservicios[codTecnologiaSalud],F270,tb_otrosservicios[vrServicio]),)))),"")</f>
        <v/>
      </c>
      <c r="N270" s="33"/>
    </row>
    <row r="271" spans="6:14" x14ac:dyDescent="0.25">
      <c r="F271" s="30"/>
      <c r="G271" s="31"/>
      <c r="H271" s="38"/>
      <c r="I271" s="32"/>
      <c r="J271" s="32"/>
      <c r="K271" s="26"/>
      <c r="L271" s="11" t="str">
        <f>IF(F271&lt;&gt;"",IF(COUNTIF(tb_consultas[codConsulta],F271)&gt;0,COUNTIF(tb_consultas[codConsulta],F271),IF(COUNTIF(tb_procedimientos[codProcedimiento],F271),COUNTIF(tb_procedimientos[codProcedimiento],F271),IF(COUNTIF(tb_medicamentos[codTecnologiaSalud],F271)&gt;0,SUMIF(tb_medicamentos[codTecnologiaSalud],F271,tb_medicamentos[cantidadMedicamento]),IF(COUNTIF(tb_otrosservicios[codTecnologiaSalud],F271)&gt;0,SUMIF(tb_otrosservicios[codTecnologiaSalud],F271,tb_otrosservicios[cantidadOS]),)))),"")</f>
        <v/>
      </c>
      <c r="M271" s="26" t="str">
        <f>IF(F271&lt;&gt;"",IF(COUNTIF(tb_consultas[codConsulta],F271)&gt;0,SUMIF(tb_consultas[codConsulta],F271,tb_consultas[vrServicio]),IF(COUNTIF(tb_procedimientos[codProcedimiento],F271),SUMIF(tb_procedimientos[codProcedimiento],F271,tb_procedimientos[vrServicio]),IF(COUNTIF(tb_medicamentos[codTecnologiaSalud],F271)&gt;0,SUMIF(tb_medicamentos[codTecnologiaSalud],F271,tb_medicamentos[vrServicio]),IF(COUNTIF(tb_otrosservicios[codTecnologiaSalud],F271)&gt;0,SUMIF(tb_otrosservicios[codTecnologiaSalud],F271,tb_otrosservicios[vrServicio]),)))),"")</f>
        <v/>
      </c>
      <c r="N271" s="33"/>
    </row>
    <row r="272" spans="6:14" x14ac:dyDescent="0.25">
      <c r="F272" s="30"/>
      <c r="G272" s="31"/>
      <c r="H272" s="38"/>
      <c r="I272" s="32"/>
      <c r="J272" s="32"/>
      <c r="K272" s="26"/>
      <c r="L272" s="11" t="str">
        <f>IF(F272&lt;&gt;"",IF(COUNTIF(tb_consultas[codConsulta],F272)&gt;0,COUNTIF(tb_consultas[codConsulta],F272),IF(COUNTIF(tb_procedimientos[codProcedimiento],F272),COUNTIF(tb_procedimientos[codProcedimiento],F272),IF(COUNTIF(tb_medicamentos[codTecnologiaSalud],F272)&gt;0,SUMIF(tb_medicamentos[codTecnologiaSalud],F272,tb_medicamentos[cantidadMedicamento]),IF(COUNTIF(tb_otrosservicios[codTecnologiaSalud],F272)&gt;0,SUMIF(tb_otrosservicios[codTecnologiaSalud],F272,tb_otrosservicios[cantidadOS]),)))),"")</f>
        <v/>
      </c>
      <c r="M272" s="26" t="str">
        <f>IF(F272&lt;&gt;"",IF(COUNTIF(tb_consultas[codConsulta],F272)&gt;0,SUMIF(tb_consultas[codConsulta],F272,tb_consultas[vrServicio]),IF(COUNTIF(tb_procedimientos[codProcedimiento],F272),SUMIF(tb_procedimientos[codProcedimiento],F272,tb_procedimientos[vrServicio]),IF(COUNTIF(tb_medicamentos[codTecnologiaSalud],F272)&gt;0,SUMIF(tb_medicamentos[codTecnologiaSalud],F272,tb_medicamentos[vrServicio]),IF(COUNTIF(tb_otrosservicios[codTecnologiaSalud],F272)&gt;0,SUMIF(tb_otrosservicios[codTecnologiaSalud],F272,tb_otrosservicios[vrServicio]),)))),"")</f>
        <v/>
      </c>
      <c r="N272" s="33"/>
    </row>
    <row r="273" spans="6:14" x14ac:dyDescent="0.25">
      <c r="F273" s="30"/>
      <c r="G273" s="31"/>
      <c r="H273" s="38"/>
      <c r="I273" s="32"/>
      <c r="J273" s="32"/>
      <c r="K273" s="26"/>
      <c r="L273" s="11" t="str">
        <f>IF(F273&lt;&gt;"",IF(COUNTIF(tb_consultas[codConsulta],F273)&gt;0,COUNTIF(tb_consultas[codConsulta],F273),IF(COUNTIF(tb_procedimientos[codProcedimiento],F273),COUNTIF(tb_procedimientos[codProcedimiento],F273),IF(COUNTIF(tb_medicamentos[codTecnologiaSalud],F273)&gt;0,SUMIF(tb_medicamentos[codTecnologiaSalud],F273,tb_medicamentos[cantidadMedicamento]),IF(COUNTIF(tb_otrosservicios[codTecnologiaSalud],F273)&gt;0,SUMIF(tb_otrosservicios[codTecnologiaSalud],F273,tb_otrosservicios[cantidadOS]),)))),"")</f>
        <v/>
      </c>
      <c r="M273" s="26" t="str">
        <f>IF(F273&lt;&gt;"",IF(COUNTIF(tb_consultas[codConsulta],F273)&gt;0,SUMIF(tb_consultas[codConsulta],F273,tb_consultas[vrServicio]),IF(COUNTIF(tb_procedimientos[codProcedimiento],F273),SUMIF(tb_procedimientos[codProcedimiento],F273,tb_procedimientos[vrServicio]),IF(COUNTIF(tb_medicamentos[codTecnologiaSalud],F273)&gt;0,SUMIF(tb_medicamentos[codTecnologiaSalud],F273,tb_medicamentos[vrServicio]),IF(COUNTIF(tb_otrosservicios[codTecnologiaSalud],F273)&gt;0,SUMIF(tb_otrosservicios[codTecnologiaSalud],F273,tb_otrosservicios[vrServicio]),)))),"")</f>
        <v/>
      </c>
      <c r="N273" s="33"/>
    </row>
    <row r="274" spans="6:14" x14ac:dyDescent="0.25">
      <c r="F274" s="30"/>
      <c r="G274" s="31"/>
      <c r="H274" s="38"/>
      <c r="I274" s="32"/>
      <c r="J274" s="32"/>
      <c r="K274" s="26"/>
      <c r="L274" s="11" t="str">
        <f>IF(F274&lt;&gt;"",IF(COUNTIF(tb_consultas[codConsulta],F274)&gt;0,COUNTIF(tb_consultas[codConsulta],F274),IF(COUNTIF(tb_procedimientos[codProcedimiento],F274),COUNTIF(tb_procedimientos[codProcedimiento],F274),IF(COUNTIF(tb_medicamentos[codTecnologiaSalud],F274)&gt;0,SUMIF(tb_medicamentos[codTecnologiaSalud],F274,tb_medicamentos[cantidadMedicamento]),IF(COUNTIF(tb_otrosservicios[codTecnologiaSalud],F274)&gt;0,SUMIF(tb_otrosservicios[codTecnologiaSalud],F274,tb_otrosservicios[cantidadOS]),)))),"")</f>
        <v/>
      </c>
      <c r="M274" s="26" t="str">
        <f>IF(F274&lt;&gt;"",IF(COUNTIF(tb_consultas[codConsulta],F274)&gt;0,SUMIF(tb_consultas[codConsulta],F274,tb_consultas[vrServicio]),IF(COUNTIF(tb_procedimientos[codProcedimiento],F274),SUMIF(tb_procedimientos[codProcedimiento],F274,tb_procedimientos[vrServicio]),IF(COUNTIF(tb_medicamentos[codTecnologiaSalud],F274)&gt;0,SUMIF(tb_medicamentos[codTecnologiaSalud],F274,tb_medicamentos[vrServicio]),IF(COUNTIF(tb_otrosservicios[codTecnologiaSalud],F274)&gt;0,SUMIF(tb_otrosservicios[codTecnologiaSalud],F274,tb_otrosservicios[vrServicio]),)))),"")</f>
        <v/>
      </c>
      <c r="N274" s="33"/>
    </row>
    <row r="275" spans="6:14" x14ac:dyDescent="0.25">
      <c r="F275" s="30"/>
      <c r="G275" s="31"/>
      <c r="H275" s="38"/>
      <c r="I275" s="32"/>
      <c r="J275" s="32"/>
      <c r="K275" s="26"/>
      <c r="L275" s="11" t="str">
        <f>IF(F275&lt;&gt;"",IF(COUNTIF(tb_consultas[codConsulta],F275)&gt;0,COUNTIF(tb_consultas[codConsulta],F275),IF(COUNTIF(tb_procedimientos[codProcedimiento],F275),COUNTIF(tb_procedimientos[codProcedimiento],F275),IF(COUNTIF(tb_medicamentos[codTecnologiaSalud],F275)&gt;0,SUMIF(tb_medicamentos[codTecnologiaSalud],F275,tb_medicamentos[cantidadMedicamento]),IF(COUNTIF(tb_otrosservicios[codTecnologiaSalud],F275)&gt;0,SUMIF(tb_otrosservicios[codTecnologiaSalud],F275,tb_otrosservicios[cantidadOS]),)))),"")</f>
        <v/>
      </c>
      <c r="M275" s="26" t="str">
        <f>IF(F275&lt;&gt;"",IF(COUNTIF(tb_consultas[codConsulta],F275)&gt;0,SUMIF(tb_consultas[codConsulta],F275,tb_consultas[vrServicio]),IF(COUNTIF(tb_procedimientos[codProcedimiento],F275),SUMIF(tb_procedimientos[codProcedimiento],F275,tb_procedimientos[vrServicio]),IF(COUNTIF(tb_medicamentos[codTecnologiaSalud],F275)&gt;0,SUMIF(tb_medicamentos[codTecnologiaSalud],F275,tb_medicamentos[vrServicio]),IF(COUNTIF(tb_otrosservicios[codTecnologiaSalud],F275)&gt;0,SUMIF(tb_otrosservicios[codTecnologiaSalud],F275,tb_otrosservicios[vrServicio]),)))),"")</f>
        <v/>
      </c>
      <c r="N275" s="33"/>
    </row>
    <row r="276" spans="6:14" x14ac:dyDescent="0.25">
      <c r="F276" s="30"/>
      <c r="G276" s="31"/>
      <c r="H276" s="38"/>
      <c r="I276" s="32"/>
      <c r="J276" s="32"/>
      <c r="K276" s="26"/>
      <c r="L276" s="11" t="str">
        <f>IF(F276&lt;&gt;"",IF(COUNTIF(tb_consultas[codConsulta],F276)&gt;0,COUNTIF(tb_consultas[codConsulta],F276),IF(COUNTIF(tb_procedimientos[codProcedimiento],F276),COUNTIF(tb_procedimientos[codProcedimiento],F276),IF(COUNTIF(tb_medicamentos[codTecnologiaSalud],F276)&gt;0,SUMIF(tb_medicamentos[codTecnologiaSalud],F276,tb_medicamentos[cantidadMedicamento]),IF(COUNTIF(tb_otrosservicios[codTecnologiaSalud],F276)&gt;0,SUMIF(tb_otrosservicios[codTecnologiaSalud],F276,tb_otrosservicios[cantidadOS]),)))),"")</f>
        <v/>
      </c>
      <c r="M276" s="26" t="str">
        <f>IF(F276&lt;&gt;"",IF(COUNTIF(tb_consultas[codConsulta],F276)&gt;0,SUMIF(tb_consultas[codConsulta],F276,tb_consultas[vrServicio]),IF(COUNTIF(tb_procedimientos[codProcedimiento],F276),SUMIF(tb_procedimientos[codProcedimiento],F276,tb_procedimientos[vrServicio]),IF(COUNTIF(tb_medicamentos[codTecnologiaSalud],F276)&gt;0,SUMIF(tb_medicamentos[codTecnologiaSalud],F276,tb_medicamentos[vrServicio]),IF(COUNTIF(tb_otrosservicios[codTecnologiaSalud],F276)&gt;0,SUMIF(tb_otrosservicios[codTecnologiaSalud],F276,tb_otrosservicios[vrServicio]),)))),"")</f>
        <v/>
      </c>
      <c r="N276" s="33"/>
    </row>
    <row r="277" spans="6:14" x14ac:dyDescent="0.25">
      <c r="F277" s="30"/>
      <c r="G277" s="31"/>
      <c r="H277" s="38"/>
      <c r="I277" s="32"/>
      <c r="J277" s="32"/>
      <c r="K277" s="26"/>
      <c r="L277" s="11" t="str">
        <f>IF(F277&lt;&gt;"",IF(COUNTIF(tb_consultas[codConsulta],F277)&gt;0,COUNTIF(tb_consultas[codConsulta],F277),IF(COUNTIF(tb_procedimientos[codProcedimiento],F277),COUNTIF(tb_procedimientos[codProcedimiento],F277),IF(COUNTIF(tb_medicamentos[codTecnologiaSalud],F277)&gt;0,SUMIF(tb_medicamentos[codTecnologiaSalud],F277,tb_medicamentos[cantidadMedicamento]),IF(COUNTIF(tb_otrosservicios[codTecnologiaSalud],F277)&gt;0,SUMIF(tb_otrosservicios[codTecnologiaSalud],F277,tb_otrosservicios[cantidadOS]),)))),"")</f>
        <v/>
      </c>
      <c r="M277" s="26" t="str">
        <f>IF(F277&lt;&gt;"",IF(COUNTIF(tb_consultas[codConsulta],F277)&gt;0,SUMIF(tb_consultas[codConsulta],F277,tb_consultas[vrServicio]),IF(COUNTIF(tb_procedimientos[codProcedimiento],F277),SUMIF(tb_procedimientos[codProcedimiento],F277,tb_procedimientos[vrServicio]),IF(COUNTIF(tb_medicamentos[codTecnologiaSalud],F277)&gt;0,SUMIF(tb_medicamentos[codTecnologiaSalud],F277,tb_medicamentos[vrServicio]),IF(COUNTIF(tb_otrosservicios[codTecnologiaSalud],F277)&gt;0,SUMIF(tb_otrosservicios[codTecnologiaSalud],F277,tb_otrosservicios[vrServicio]),)))),"")</f>
        <v/>
      </c>
      <c r="N277" s="33"/>
    </row>
    <row r="278" spans="6:14" x14ac:dyDescent="0.25">
      <c r="F278" s="30"/>
      <c r="G278" s="31"/>
      <c r="H278" s="38"/>
      <c r="I278" s="32"/>
      <c r="J278" s="32"/>
      <c r="K278" s="26"/>
      <c r="L278" s="11" t="str">
        <f>IF(F278&lt;&gt;"",IF(COUNTIF(tb_consultas[codConsulta],F278)&gt;0,COUNTIF(tb_consultas[codConsulta],F278),IF(COUNTIF(tb_procedimientos[codProcedimiento],F278),COUNTIF(tb_procedimientos[codProcedimiento],F278),IF(COUNTIF(tb_medicamentos[codTecnologiaSalud],F278)&gt;0,SUMIF(tb_medicamentos[codTecnologiaSalud],F278,tb_medicamentos[cantidadMedicamento]),IF(COUNTIF(tb_otrosservicios[codTecnologiaSalud],F278)&gt;0,SUMIF(tb_otrosservicios[codTecnologiaSalud],F278,tb_otrosservicios[cantidadOS]),)))),"")</f>
        <v/>
      </c>
      <c r="M278" s="26" t="str">
        <f>IF(F278&lt;&gt;"",IF(COUNTIF(tb_consultas[codConsulta],F278)&gt;0,SUMIF(tb_consultas[codConsulta],F278,tb_consultas[vrServicio]),IF(COUNTIF(tb_procedimientos[codProcedimiento],F278),SUMIF(tb_procedimientos[codProcedimiento],F278,tb_procedimientos[vrServicio]),IF(COUNTIF(tb_medicamentos[codTecnologiaSalud],F278)&gt;0,SUMIF(tb_medicamentos[codTecnologiaSalud],F278,tb_medicamentos[vrServicio]),IF(COUNTIF(tb_otrosservicios[codTecnologiaSalud],F278)&gt;0,SUMIF(tb_otrosservicios[codTecnologiaSalud],F278,tb_otrosservicios[vrServicio]),)))),"")</f>
        <v/>
      </c>
      <c r="N278" s="33"/>
    </row>
    <row r="279" spans="6:14" x14ac:dyDescent="0.25">
      <c r="F279" s="30"/>
      <c r="G279" s="31"/>
      <c r="H279" s="38"/>
      <c r="I279" s="32"/>
      <c r="J279" s="32"/>
      <c r="K279" s="26"/>
      <c r="L279" s="11" t="str">
        <f>IF(F279&lt;&gt;"",IF(COUNTIF(tb_consultas[codConsulta],F279)&gt;0,COUNTIF(tb_consultas[codConsulta],F279),IF(COUNTIF(tb_procedimientos[codProcedimiento],F279),COUNTIF(tb_procedimientos[codProcedimiento],F279),IF(COUNTIF(tb_medicamentos[codTecnologiaSalud],F279)&gt;0,SUMIF(tb_medicamentos[codTecnologiaSalud],F279,tb_medicamentos[cantidadMedicamento]),IF(COUNTIF(tb_otrosservicios[codTecnologiaSalud],F279)&gt;0,SUMIF(tb_otrosservicios[codTecnologiaSalud],F279,tb_otrosservicios[cantidadOS]),)))),"")</f>
        <v/>
      </c>
      <c r="M279" s="26" t="str">
        <f>IF(F279&lt;&gt;"",IF(COUNTIF(tb_consultas[codConsulta],F279)&gt;0,SUMIF(tb_consultas[codConsulta],F279,tb_consultas[vrServicio]),IF(COUNTIF(tb_procedimientos[codProcedimiento],F279),SUMIF(tb_procedimientos[codProcedimiento],F279,tb_procedimientos[vrServicio]),IF(COUNTIF(tb_medicamentos[codTecnologiaSalud],F279)&gt;0,SUMIF(tb_medicamentos[codTecnologiaSalud],F279,tb_medicamentos[vrServicio]),IF(COUNTIF(tb_otrosservicios[codTecnologiaSalud],F279)&gt;0,SUMIF(tb_otrosservicios[codTecnologiaSalud],F279,tb_otrosservicios[vrServicio]),)))),"")</f>
        <v/>
      </c>
      <c r="N279" s="33"/>
    </row>
    <row r="280" spans="6:14" x14ac:dyDescent="0.25">
      <c r="F280" s="30"/>
      <c r="G280" s="31"/>
      <c r="H280" s="38"/>
      <c r="I280" s="32"/>
      <c r="J280" s="32"/>
      <c r="K280" s="26"/>
      <c r="L280" s="11" t="str">
        <f>IF(F280&lt;&gt;"",IF(COUNTIF(tb_consultas[codConsulta],F280)&gt;0,COUNTIF(tb_consultas[codConsulta],F280),IF(COUNTIF(tb_procedimientos[codProcedimiento],F280),COUNTIF(tb_procedimientos[codProcedimiento],F280),IF(COUNTIF(tb_medicamentos[codTecnologiaSalud],F280)&gt;0,SUMIF(tb_medicamentos[codTecnologiaSalud],F280,tb_medicamentos[cantidadMedicamento]),IF(COUNTIF(tb_otrosservicios[codTecnologiaSalud],F280)&gt;0,SUMIF(tb_otrosservicios[codTecnologiaSalud],F280,tb_otrosservicios[cantidadOS]),)))),"")</f>
        <v/>
      </c>
      <c r="M280" s="26" t="str">
        <f>IF(F280&lt;&gt;"",IF(COUNTIF(tb_consultas[codConsulta],F280)&gt;0,SUMIF(tb_consultas[codConsulta],F280,tb_consultas[vrServicio]),IF(COUNTIF(tb_procedimientos[codProcedimiento],F280),SUMIF(tb_procedimientos[codProcedimiento],F280,tb_procedimientos[vrServicio]),IF(COUNTIF(tb_medicamentos[codTecnologiaSalud],F280)&gt;0,SUMIF(tb_medicamentos[codTecnologiaSalud],F280,tb_medicamentos[vrServicio]),IF(COUNTIF(tb_otrosservicios[codTecnologiaSalud],F280)&gt;0,SUMIF(tb_otrosservicios[codTecnologiaSalud],F280,tb_otrosservicios[vrServicio]),)))),"")</f>
        <v/>
      </c>
      <c r="N280" s="33"/>
    </row>
    <row r="281" spans="6:14" x14ac:dyDescent="0.25">
      <c r="F281" s="30"/>
      <c r="G281" s="31"/>
      <c r="H281" s="38"/>
      <c r="I281" s="32"/>
      <c r="J281" s="32"/>
      <c r="K281" s="26"/>
      <c r="L281" s="11" t="str">
        <f>IF(F281&lt;&gt;"",IF(COUNTIF(tb_consultas[codConsulta],F281)&gt;0,COUNTIF(tb_consultas[codConsulta],F281),IF(COUNTIF(tb_procedimientos[codProcedimiento],F281),COUNTIF(tb_procedimientos[codProcedimiento],F281),IF(COUNTIF(tb_medicamentos[codTecnologiaSalud],F281)&gt;0,SUMIF(tb_medicamentos[codTecnologiaSalud],F281,tb_medicamentos[cantidadMedicamento]),IF(COUNTIF(tb_otrosservicios[codTecnologiaSalud],F281)&gt;0,SUMIF(tb_otrosservicios[codTecnologiaSalud],F281,tb_otrosservicios[cantidadOS]),)))),"")</f>
        <v/>
      </c>
      <c r="M281" s="26" t="str">
        <f>IF(F281&lt;&gt;"",IF(COUNTIF(tb_consultas[codConsulta],F281)&gt;0,SUMIF(tb_consultas[codConsulta],F281,tb_consultas[vrServicio]),IF(COUNTIF(tb_procedimientos[codProcedimiento],F281),SUMIF(tb_procedimientos[codProcedimiento],F281,tb_procedimientos[vrServicio]),IF(COUNTIF(tb_medicamentos[codTecnologiaSalud],F281)&gt;0,SUMIF(tb_medicamentos[codTecnologiaSalud],F281,tb_medicamentos[vrServicio]),IF(COUNTIF(tb_otrosservicios[codTecnologiaSalud],F281)&gt;0,SUMIF(tb_otrosservicios[codTecnologiaSalud],F281,tb_otrosservicios[vrServicio]),)))),"")</f>
        <v/>
      </c>
      <c r="N281" s="33"/>
    </row>
    <row r="282" spans="6:14" x14ac:dyDescent="0.25">
      <c r="F282" s="30"/>
      <c r="G282" s="31"/>
      <c r="H282" s="38"/>
      <c r="I282" s="32"/>
      <c r="J282" s="32"/>
      <c r="K282" s="26"/>
      <c r="L282" s="11" t="str">
        <f>IF(F282&lt;&gt;"",IF(COUNTIF(tb_consultas[codConsulta],F282)&gt;0,COUNTIF(tb_consultas[codConsulta],F282),IF(COUNTIF(tb_procedimientos[codProcedimiento],F282),COUNTIF(tb_procedimientos[codProcedimiento],F282),IF(COUNTIF(tb_medicamentos[codTecnologiaSalud],F282)&gt;0,SUMIF(tb_medicamentos[codTecnologiaSalud],F282,tb_medicamentos[cantidadMedicamento]),IF(COUNTIF(tb_otrosservicios[codTecnologiaSalud],F282)&gt;0,SUMIF(tb_otrosservicios[codTecnologiaSalud],F282,tb_otrosservicios[cantidadOS]),)))),"")</f>
        <v/>
      </c>
      <c r="M282" s="26" t="str">
        <f>IF(F282&lt;&gt;"",IF(COUNTIF(tb_consultas[codConsulta],F282)&gt;0,SUMIF(tb_consultas[codConsulta],F282,tb_consultas[vrServicio]),IF(COUNTIF(tb_procedimientos[codProcedimiento],F282),SUMIF(tb_procedimientos[codProcedimiento],F282,tb_procedimientos[vrServicio]),IF(COUNTIF(tb_medicamentos[codTecnologiaSalud],F282)&gt;0,SUMIF(tb_medicamentos[codTecnologiaSalud],F282,tb_medicamentos[vrServicio]),IF(COUNTIF(tb_otrosservicios[codTecnologiaSalud],F282)&gt;0,SUMIF(tb_otrosservicios[codTecnologiaSalud],F282,tb_otrosservicios[vrServicio]),)))),"")</f>
        <v/>
      </c>
      <c r="N282" s="33"/>
    </row>
    <row r="283" spans="6:14" x14ac:dyDescent="0.25">
      <c r="F283" s="30"/>
      <c r="G283" s="31"/>
      <c r="H283" s="38"/>
      <c r="I283" s="32"/>
      <c r="J283" s="32"/>
      <c r="K283" s="26"/>
      <c r="L283" s="11" t="str">
        <f>IF(F283&lt;&gt;"",IF(COUNTIF(tb_consultas[codConsulta],F283)&gt;0,COUNTIF(tb_consultas[codConsulta],F283),IF(COUNTIF(tb_procedimientos[codProcedimiento],F283),COUNTIF(tb_procedimientos[codProcedimiento],F283),IF(COUNTIF(tb_medicamentos[codTecnologiaSalud],F283)&gt;0,SUMIF(tb_medicamentos[codTecnologiaSalud],F283,tb_medicamentos[cantidadMedicamento]),IF(COUNTIF(tb_otrosservicios[codTecnologiaSalud],F283)&gt;0,SUMIF(tb_otrosservicios[codTecnologiaSalud],F283,tb_otrosservicios[cantidadOS]),)))),"")</f>
        <v/>
      </c>
      <c r="M283" s="26" t="str">
        <f>IF(F283&lt;&gt;"",IF(COUNTIF(tb_consultas[codConsulta],F283)&gt;0,SUMIF(tb_consultas[codConsulta],F283,tb_consultas[vrServicio]),IF(COUNTIF(tb_procedimientos[codProcedimiento],F283),SUMIF(tb_procedimientos[codProcedimiento],F283,tb_procedimientos[vrServicio]),IF(COUNTIF(tb_medicamentos[codTecnologiaSalud],F283)&gt;0,SUMIF(tb_medicamentos[codTecnologiaSalud],F283,tb_medicamentos[vrServicio]),IF(COUNTIF(tb_otrosservicios[codTecnologiaSalud],F283)&gt;0,SUMIF(tb_otrosservicios[codTecnologiaSalud],F283,tb_otrosservicios[vrServicio]),)))),"")</f>
        <v/>
      </c>
      <c r="N283" s="33"/>
    </row>
    <row r="284" spans="6:14" x14ac:dyDescent="0.25">
      <c r="F284" s="30"/>
      <c r="G284" s="31"/>
      <c r="H284" s="38"/>
      <c r="I284" s="32"/>
      <c r="J284" s="32"/>
      <c r="K284" s="26"/>
      <c r="L284" s="11" t="str">
        <f>IF(F284&lt;&gt;"",IF(COUNTIF(tb_consultas[codConsulta],F284)&gt;0,COUNTIF(tb_consultas[codConsulta],F284),IF(COUNTIF(tb_procedimientos[codProcedimiento],F284),COUNTIF(tb_procedimientos[codProcedimiento],F284),IF(COUNTIF(tb_medicamentos[codTecnologiaSalud],F284)&gt;0,SUMIF(tb_medicamentos[codTecnologiaSalud],F284,tb_medicamentos[cantidadMedicamento]),IF(COUNTIF(tb_otrosservicios[codTecnologiaSalud],F284)&gt;0,SUMIF(tb_otrosservicios[codTecnologiaSalud],F284,tb_otrosservicios[cantidadOS]),)))),"")</f>
        <v/>
      </c>
      <c r="M284" s="26" t="str">
        <f>IF(F284&lt;&gt;"",IF(COUNTIF(tb_consultas[codConsulta],F284)&gt;0,SUMIF(tb_consultas[codConsulta],F284,tb_consultas[vrServicio]),IF(COUNTIF(tb_procedimientos[codProcedimiento],F284),SUMIF(tb_procedimientos[codProcedimiento],F284,tb_procedimientos[vrServicio]),IF(COUNTIF(tb_medicamentos[codTecnologiaSalud],F284)&gt;0,SUMIF(tb_medicamentos[codTecnologiaSalud],F284,tb_medicamentos[vrServicio]),IF(COUNTIF(tb_otrosservicios[codTecnologiaSalud],F284)&gt;0,SUMIF(tb_otrosservicios[codTecnologiaSalud],F284,tb_otrosservicios[vrServicio]),)))),"")</f>
        <v/>
      </c>
      <c r="N284" s="33"/>
    </row>
    <row r="285" spans="6:14" x14ac:dyDescent="0.25">
      <c r="F285" s="30"/>
      <c r="G285" s="31"/>
      <c r="H285" s="38"/>
      <c r="I285" s="32"/>
      <c r="J285" s="32"/>
      <c r="K285" s="26"/>
      <c r="L285" s="11" t="str">
        <f>IF(F285&lt;&gt;"",IF(COUNTIF(tb_consultas[codConsulta],F285)&gt;0,COUNTIF(tb_consultas[codConsulta],F285),IF(COUNTIF(tb_procedimientos[codProcedimiento],F285),COUNTIF(tb_procedimientos[codProcedimiento],F285),IF(COUNTIF(tb_medicamentos[codTecnologiaSalud],F285)&gt;0,SUMIF(tb_medicamentos[codTecnologiaSalud],F285,tb_medicamentos[cantidadMedicamento]),IF(COUNTIF(tb_otrosservicios[codTecnologiaSalud],F285)&gt;0,SUMIF(tb_otrosservicios[codTecnologiaSalud],F285,tb_otrosservicios[cantidadOS]),)))),"")</f>
        <v/>
      </c>
      <c r="M285" s="26" t="str">
        <f>IF(F285&lt;&gt;"",IF(COUNTIF(tb_consultas[codConsulta],F285)&gt;0,SUMIF(tb_consultas[codConsulta],F285,tb_consultas[vrServicio]),IF(COUNTIF(tb_procedimientos[codProcedimiento],F285),SUMIF(tb_procedimientos[codProcedimiento],F285,tb_procedimientos[vrServicio]),IF(COUNTIF(tb_medicamentos[codTecnologiaSalud],F285)&gt;0,SUMIF(tb_medicamentos[codTecnologiaSalud],F285,tb_medicamentos[vrServicio]),IF(COUNTIF(tb_otrosservicios[codTecnologiaSalud],F285)&gt;0,SUMIF(tb_otrosservicios[codTecnologiaSalud],F285,tb_otrosservicios[vrServicio]),)))),"")</f>
        <v/>
      </c>
      <c r="N285" s="33"/>
    </row>
    <row r="286" spans="6:14" x14ac:dyDescent="0.25">
      <c r="F286" s="30"/>
      <c r="G286" s="31"/>
      <c r="H286" s="38"/>
      <c r="I286" s="32"/>
      <c r="J286" s="32"/>
      <c r="K286" s="26"/>
      <c r="L286" s="11" t="str">
        <f>IF(F286&lt;&gt;"",IF(COUNTIF(tb_consultas[codConsulta],F286)&gt;0,COUNTIF(tb_consultas[codConsulta],F286),IF(COUNTIF(tb_procedimientos[codProcedimiento],F286),COUNTIF(tb_procedimientos[codProcedimiento],F286),IF(COUNTIF(tb_medicamentos[codTecnologiaSalud],F286)&gt;0,SUMIF(tb_medicamentos[codTecnologiaSalud],F286,tb_medicamentos[cantidadMedicamento]),IF(COUNTIF(tb_otrosservicios[codTecnologiaSalud],F286)&gt;0,SUMIF(tb_otrosservicios[codTecnologiaSalud],F286,tb_otrosservicios[cantidadOS]),)))),"")</f>
        <v/>
      </c>
      <c r="M286" s="26" t="str">
        <f>IF(F286&lt;&gt;"",IF(COUNTIF(tb_consultas[codConsulta],F286)&gt;0,SUMIF(tb_consultas[codConsulta],F286,tb_consultas[vrServicio]),IF(COUNTIF(tb_procedimientos[codProcedimiento],F286),SUMIF(tb_procedimientos[codProcedimiento],F286,tb_procedimientos[vrServicio]),IF(COUNTIF(tb_medicamentos[codTecnologiaSalud],F286)&gt;0,SUMIF(tb_medicamentos[codTecnologiaSalud],F286,tb_medicamentos[vrServicio]),IF(COUNTIF(tb_otrosservicios[codTecnologiaSalud],F286)&gt;0,SUMIF(tb_otrosservicios[codTecnologiaSalud],F286,tb_otrosservicios[vrServicio]),)))),"")</f>
        <v/>
      </c>
      <c r="N286" s="33"/>
    </row>
    <row r="287" spans="6:14" x14ac:dyDescent="0.25">
      <c r="F287" s="30"/>
      <c r="G287" s="31"/>
      <c r="H287" s="38"/>
      <c r="I287" s="32"/>
      <c r="J287" s="32"/>
      <c r="K287" s="26"/>
      <c r="L287" s="11" t="str">
        <f>IF(F287&lt;&gt;"",IF(COUNTIF(tb_consultas[codConsulta],F287)&gt;0,COUNTIF(tb_consultas[codConsulta],F287),IF(COUNTIF(tb_procedimientos[codProcedimiento],F287),COUNTIF(tb_procedimientos[codProcedimiento],F287),IF(COUNTIF(tb_medicamentos[codTecnologiaSalud],F287)&gt;0,SUMIF(tb_medicamentos[codTecnologiaSalud],F287,tb_medicamentos[cantidadMedicamento]),IF(COUNTIF(tb_otrosservicios[codTecnologiaSalud],F287)&gt;0,SUMIF(tb_otrosservicios[codTecnologiaSalud],F287,tb_otrosservicios[cantidadOS]),)))),"")</f>
        <v/>
      </c>
      <c r="M287" s="26" t="str">
        <f>IF(F287&lt;&gt;"",IF(COUNTIF(tb_consultas[codConsulta],F287)&gt;0,SUMIF(tb_consultas[codConsulta],F287,tb_consultas[vrServicio]),IF(COUNTIF(tb_procedimientos[codProcedimiento],F287),SUMIF(tb_procedimientos[codProcedimiento],F287,tb_procedimientos[vrServicio]),IF(COUNTIF(tb_medicamentos[codTecnologiaSalud],F287)&gt;0,SUMIF(tb_medicamentos[codTecnologiaSalud],F287,tb_medicamentos[vrServicio]),IF(COUNTIF(tb_otrosservicios[codTecnologiaSalud],F287)&gt;0,SUMIF(tb_otrosservicios[codTecnologiaSalud],F287,tb_otrosservicios[vrServicio]),)))),"")</f>
        <v/>
      </c>
      <c r="N287" s="33"/>
    </row>
    <row r="288" spans="6:14" x14ac:dyDescent="0.25">
      <c r="F288" s="30"/>
      <c r="G288" s="31"/>
      <c r="H288" s="38"/>
      <c r="I288" s="32"/>
      <c r="J288" s="32"/>
      <c r="K288" s="26"/>
      <c r="L288" s="11" t="str">
        <f>IF(F288&lt;&gt;"",IF(COUNTIF(tb_consultas[codConsulta],F288)&gt;0,COUNTIF(tb_consultas[codConsulta],F288),IF(COUNTIF(tb_procedimientos[codProcedimiento],F288),COUNTIF(tb_procedimientos[codProcedimiento],F288),IF(COUNTIF(tb_medicamentos[codTecnologiaSalud],F288)&gt;0,SUMIF(tb_medicamentos[codTecnologiaSalud],F288,tb_medicamentos[cantidadMedicamento]),IF(COUNTIF(tb_otrosservicios[codTecnologiaSalud],F288)&gt;0,SUMIF(tb_otrosservicios[codTecnologiaSalud],F288,tb_otrosservicios[cantidadOS]),)))),"")</f>
        <v/>
      </c>
      <c r="M288" s="26" t="str">
        <f>IF(F288&lt;&gt;"",IF(COUNTIF(tb_consultas[codConsulta],F288)&gt;0,SUMIF(tb_consultas[codConsulta],F288,tb_consultas[vrServicio]),IF(COUNTIF(tb_procedimientos[codProcedimiento],F288),SUMIF(tb_procedimientos[codProcedimiento],F288,tb_procedimientos[vrServicio]),IF(COUNTIF(tb_medicamentos[codTecnologiaSalud],F288)&gt;0,SUMIF(tb_medicamentos[codTecnologiaSalud],F288,tb_medicamentos[vrServicio]),IF(COUNTIF(tb_otrosservicios[codTecnologiaSalud],F288)&gt;0,SUMIF(tb_otrosservicios[codTecnologiaSalud],F288,tb_otrosservicios[vrServicio]),)))),"")</f>
        <v/>
      </c>
      <c r="N288" s="33"/>
    </row>
    <row r="289" spans="6:14" x14ac:dyDescent="0.25">
      <c r="F289" s="30"/>
      <c r="G289" s="31"/>
      <c r="H289" s="38"/>
      <c r="I289" s="32"/>
      <c r="J289" s="32"/>
      <c r="K289" s="26"/>
      <c r="L289" s="11" t="str">
        <f>IF(F289&lt;&gt;"",IF(COUNTIF(tb_consultas[codConsulta],F289)&gt;0,COUNTIF(tb_consultas[codConsulta],F289),IF(COUNTIF(tb_procedimientos[codProcedimiento],F289),COUNTIF(tb_procedimientos[codProcedimiento],F289),IF(COUNTIF(tb_medicamentos[codTecnologiaSalud],F289)&gt;0,SUMIF(tb_medicamentos[codTecnologiaSalud],F289,tb_medicamentos[cantidadMedicamento]),IF(COUNTIF(tb_otrosservicios[codTecnologiaSalud],F289)&gt;0,SUMIF(tb_otrosservicios[codTecnologiaSalud],F289,tb_otrosservicios[cantidadOS]),)))),"")</f>
        <v/>
      </c>
      <c r="M289" s="26" t="str">
        <f>IF(F289&lt;&gt;"",IF(COUNTIF(tb_consultas[codConsulta],F289)&gt;0,SUMIF(tb_consultas[codConsulta],F289,tb_consultas[vrServicio]),IF(COUNTIF(tb_procedimientos[codProcedimiento],F289),SUMIF(tb_procedimientos[codProcedimiento],F289,tb_procedimientos[vrServicio]),IF(COUNTIF(tb_medicamentos[codTecnologiaSalud],F289)&gt;0,SUMIF(tb_medicamentos[codTecnologiaSalud],F289,tb_medicamentos[vrServicio]),IF(COUNTIF(tb_otrosservicios[codTecnologiaSalud],F289)&gt;0,SUMIF(tb_otrosservicios[codTecnologiaSalud],F289,tb_otrosservicios[vrServicio]),)))),"")</f>
        <v/>
      </c>
      <c r="N289" s="33"/>
    </row>
    <row r="290" spans="6:14" x14ac:dyDescent="0.25">
      <c r="F290" s="30"/>
      <c r="G290" s="31"/>
      <c r="H290" s="38"/>
      <c r="I290" s="32"/>
      <c r="J290" s="32"/>
      <c r="K290" s="26"/>
      <c r="L290" s="11" t="str">
        <f>IF(F290&lt;&gt;"",IF(COUNTIF(tb_consultas[codConsulta],F290)&gt;0,COUNTIF(tb_consultas[codConsulta],F290),IF(COUNTIF(tb_procedimientos[codProcedimiento],F290),COUNTIF(tb_procedimientos[codProcedimiento],F290),IF(COUNTIF(tb_medicamentos[codTecnologiaSalud],F290)&gt;0,SUMIF(tb_medicamentos[codTecnologiaSalud],F290,tb_medicamentos[cantidadMedicamento]),IF(COUNTIF(tb_otrosservicios[codTecnologiaSalud],F290)&gt;0,SUMIF(tb_otrosservicios[codTecnologiaSalud],F290,tb_otrosservicios[cantidadOS]),)))),"")</f>
        <v/>
      </c>
      <c r="M290" s="26" t="str">
        <f>IF(F290&lt;&gt;"",IF(COUNTIF(tb_consultas[codConsulta],F290)&gt;0,SUMIF(tb_consultas[codConsulta],F290,tb_consultas[vrServicio]),IF(COUNTIF(tb_procedimientos[codProcedimiento],F290),SUMIF(tb_procedimientos[codProcedimiento],F290,tb_procedimientos[vrServicio]),IF(COUNTIF(tb_medicamentos[codTecnologiaSalud],F290)&gt;0,SUMIF(tb_medicamentos[codTecnologiaSalud],F290,tb_medicamentos[vrServicio]),IF(COUNTIF(tb_otrosservicios[codTecnologiaSalud],F290)&gt;0,SUMIF(tb_otrosservicios[codTecnologiaSalud],F290,tb_otrosservicios[vrServicio]),)))),"")</f>
        <v/>
      </c>
      <c r="N290" s="33"/>
    </row>
    <row r="291" spans="6:14" x14ac:dyDescent="0.25">
      <c r="F291" s="30"/>
      <c r="G291" s="31"/>
      <c r="H291" s="38"/>
      <c r="I291" s="32"/>
      <c r="J291" s="32"/>
      <c r="K291" s="26"/>
      <c r="L291" s="11" t="str">
        <f>IF(F291&lt;&gt;"",IF(COUNTIF(tb_consultas[codConsulta],F291)&gt;0,COUNTIF(tb_consultas[codConsulta],F291),IF(COUNTIF(tb_procedimientos[codProcedimiento],F291),COUNTIF(tb_procedimientos[codProcedimiento],F291),IF(COUNTIF(tb_medicamentos[codTecnologiaSalud],F291)&gt;0,SUMIF(tb_medicamentos[codTecnologiaSalud],F291,tb_medicamentos[cantidadMedicamento]),IF(COUNTIF(tb_otrosservicios[codTecnologiaSalud],F291)&gt;0,SUMIF(tb_otrosservicios[codTecnologiaSalud],F291,tb_otrosservicios[cantidadOS]),)))),"")</f>
        <v/>
      </c>
      <c r="M291" s="26" t="str">
        <f>IF(F291&lt;&gt;"",IF(COUNTIF(tb_consultas[codConsulta],F291)&gt;0,SUMIF(tb_consultas[codConsulta],F291,tb_consultas[vrServicio]),IF(COUNTIF(tb_procedimientos[codProcedimiento],F291),SUMIF(tb_procedimientos[codProcedimiento],F291,tb_procedimientos[vrServicio]),IF(COUNTIF(tb_medicamentos[codTecnologiaSalud],F291)&gt;0,SUMIF(tb_medicamentos[codTecnologiaSalud],F291,tb_medicamentos[vrServicio]),IF(COUNTIF(tb_otrosservicios[codTecnologiaSalud],F291)&gt;0,SUMIF(tb_otrosservicios[codTecnologiaSalud],F291,tb_otrosservicios[vrServicio]),)))),"")</f>
        <v/>
      </c>
      <c r="N291" s="33"/>
    </row>
    <row r="292" spans="6:14" x14ac:dyDescent="0.25">
      <c r="F292" s="30"/>
      <c r="G292" s="31"/>
      <c r="H292" s="38"/>
      <c r="I292" s="32"/>
      <c r="J292" s="32"/>
      <c r="K292" s="26"/>
      <c r="L292" s="11" t="str">
        <f>IF(F292&lt;&gt;"",IF(COUNTIF(tb_consultas[codConsulta],F292)&gt;0,COUNTIF(tb_consultas[codConsulta],F292),IF(COUNTIF(tb_procedimientos[codProcedimiento],F292),COUNTIF(tb_procedimientos[codProcedimiento],F292),IF(COUNTIF(tb_medicamentos[codTecnologiaSalud],F292)&gt;0,SUMIF(tb_medicamentos[codTecnologiaSalud],F292,tb_medicamentos[cantidadMedicamento]),IF(COUNTIF(tb_otrosservicios[codTecnologiaSalud],F292)&gt;0,SUMIF(tb_otrosservicios[codTecnologiaSalud],F292,tb_otrosservicios[cantidadOS]),)))),"")</f>
        <v/>
      </c>
      <c r="M292" s="26" t="str">
        <f>IF(F292&lt;&gt;"",IF(COUNTIF(tb_consultas[codConsulta],F292)&gt;0,SUMIF(tb_consultas[codConsulta],F292,tb_consultas[vrServicio]),IF(COUNTIF(tb_procedimientos[codProcedimiento],F292),SUMIF(tb_procedimientos[codProcedimiento],F292,tb_procedimientos[vrServicio]),IF(COUNTIF(tb_medicamentos[codTecnologiaSalud],F292)&gt;0,SUMIF(tb_medicamentos[codTecnologiaSalud],F292,tb_medicamentos[vrServicio]),IF(COUNTIF(tb_otrosservicios[codTecnologiaSalud],F292)&gt;0,SUMIF(tb_otrosservicios[codTecnologiaSalud],F292,tb_otrosservicios[vrServicio]),)))),"")</f>
        <v/>
      </c>
      <c r="N292" s="33"/>
    </row>
    <row r="293" spans="6:14" x14ac:dyDescent="0.25">
      <c r="F293" s="30"/>
      <c r="G293" s="31"/>
      <c r="H293" s="38"/>
      <c r="I293" s="32"/>
      <c r="J293" s="32"/>
      <c r="K293" s="26"/>
      <c r="L293" s="11" t="str">
        <f>IF(F293&lt;&gt;"",IF(COUNTIF(tb_consultas[codConsulta],F293)&gt;0,COUNTIF(tb_consultas[codConsulta],F293),IF(COUNTIF(tb_procedimientos[codProcedimiento],F293),COUNTIF(tb_procedimientos[codProcedimiento],F293),IF(COUNTIF(tb_medicamentos[codTecnologiaSalud],F293)&gt;0,SUMIF(tb_medicamentos[codTecnologiaSalud],F293,tb_medicamentos[cantidadMedicamento]),IF(COUNTIF(tb_otrosservicios[codTecnologiaSalud],F293)&gt;0,SUMIF(tb_otrosservicios[codTecnologiaSalud],F293,tb_otrosservicios[cantidadOS]),)))),"")</f>
        <v/>
      </c>
      <c r="M293" s="26" t="str">
        <f>IF(F293&lt;&gt;"",IF(COUNTIF(tb_consultas[codConsulta],F293)&gt;0,SUMIF(tb_consultas[codConsulta],F293,tb_consultas[vrServicio]),IF(COUNTIF(tb_procedimientos[codProcedimiento],F293),SUMIF(tb_procedimientos[codProcedimiento],F293,tb_procedimientos[vrServicio]),IF(COUNTIF(tb_medicamentos[codTecnologiaSalud],F293)&gt;0,SUMIF(tb_medicamentos[codTecnologiaSalud],F293,tb_medicamentos[vrServicio]),IF(COUNTIF(tb_otrosservicios[codTecnologiaSalud],F293)&gt;0,SUMIF(tb_otrosservicios[codTecnologiaSalud],F293,tb_otrosservicios[vrServicio]),)))),"")</f>
        <v/>
      </c>
      <c r="N293" s="33"/>
    </row>
    <row r="294" spans="6:14" x14ac:dyDescent="0.25">
      <c r="F294" s="30"/>
      <c r="G294" s="31"/>
      <c r="H294" s="38"/>
      <c r="I294" s="32"/>
      <c r="J294" s="32"/>
      <c r="K294" s="26"/>
      <c r="L294" s="11" t="str">
        <f>IF(F294&lt;&gt;"",IF(COUNTIF(tb_consultas[codConsulta],F294)&gt;0,COUNTIF(tb_consultas[codConsulta],F294),IF(COUNTIF(tb_procedimientos[codProcedimiento],F294),COUNTIF(tb_procedimientos[codProcedimiento],F294),IF(COUNTIF(tb_medicamentos[codTecnologiaSalud],F294)&gt;0,SUMIF(tb_medicamentos[codTecnologiaSalud],F294,tb_medicamentos[cantidadMedicamento]),IF(COUNTIF(tb_otrosservicios[codTecnologiaSalud],F294)&gt;0,SUMIF(tb_otrosservicios[codTecnologiaSalud],F294,tb_otrosservicios[cantidadOS]),)))),"")</f>
        <v/>
      </c>
      <c r="M294" s="26" t="str">
        <f>IF(F294&lt;&gt;"",IF(COUNTIF(tb_consultas[codConsulta],F294)&gt;0,SUMIF(tb_consultas[codConsulta],F294,tb_consultas[vrServicio]),IF(COUNTIF(tb_procedimientos[codProcedimiento],F294),SUMIF(tb_procedimientos[codProcedimiento],F294,tb_procedimientos[vrServicio]),IF(COUNTIF(tb_medicamentos[codTecnologiaSalud],F294)&gt;0,SUMIF(tb_medicamentos[codTecnologiaSalud],F294,tb_medicamentos[vrServicio]),IF(COUNTIF(tb_otrosservicios[codTecnologiaSalud],F294)&gt;0,SUMIF(tb_otrosservicios[codTecnologiaSalud],F294,tb_otrosservicios[vrServicio]),)))),"")</f>
        <v/>
      </c>
      <c r="N294" s="33"/>
    </row>
    <row r="295" spans="6:14" x14ac:dyDescent="0.25">
      <c r="F295" s="30"/>
      <c r="G295" s="31"/>
      <c r="H295" s="38"/>
      <c r="I295" s="32"/>
      <c r="J295" s="32"/>
      <c r="K295" s="26"/>
      <c r="L295" s="11" t="str">
        <f>IF(F295&lt;&gt;"",IF(COUNTIF(tb_consultas[codConsulta],F295)&gt;0,COUNTIF(tb_consultas[codConsulta],F295),IF(COUNTIF(tb_procedimientos[codProcedimiento],F295),COUNTIF(tb_procedimientos[codProcedimiento],F295),IF(COUNTIF(tb_medicamentos[codTecnologiaSalud],F295)&gt;0,SUMIF(tb_medicamentos[codTecnologiaSalud],F295,tb_medicamentos[cantidadMedicamento]),IF(COUNTIF(tb_otrosservicios[codTecnologiaSalud],F295)&gt;0,SUMIF(tb_otrosservicios[codTecnologiaSalud],F295,tb_otrosservicios[cantidadOS]),)))),"")</f>
        <v/>
      </c>
      <c r="M295" s="26" t="str">
        <f>IF(F295&lt;&gt;"",IF(COUNTIF(tb_consultas[codConsulta],F295)&gt;0,SUMIF(tb_consultas[codConsulta],F295,tb_consultas[vrServicio]),IF(COUNTIF(tb_procedimientos[codProcedimiento],F295),SUMIF(tb_procedimientos[codProcedimiento],F295,tb_procedimientos[vrServicio]),IF(COUNTIF(tb_medicamentos[codTecnologiaSalud],F295)&gt;0,SUMIF(tb_medicamentos[codTecnologiaSalud],F295,tb_medicamentos[vrServicio]),IF(COUNTIF(tb_otrosservicios[codTecnologiaSalud],F295)&gt;0,SUMIF(tb_otrosservicios[codTecnologiaSalud],F295,tb_otrosservicios[vrServicio]),)))),"")</f>
        <v/>
      </c>
      <c r="N295" s="33"/>
    </row>
    <row r="296" spans="6:14" x14ac:dyDescent="0.25">
      <c r="F296" s="30"/>
      <c r="G296" s="31"/>
      <c r="H296" s="38"/>
      <c r="I296" s="32"/>
      <c r="J296" s="32"/>
      <c r="K296" s="26"/>
      <c r="L296" s="11" t="str">
        <f>IF(F296&lt;&gt;"",IF(COUNTIF(tb_consultas[codConsulta],F296)&gt;0,COUNTIF(tb_consultas[codConsulta],F296),IF(COUNTIF(tb_procedimientos[codProcedimiento],F296),COUNTIF(tb_procedimientos[codProcedimiento],F296),IF(COUNTIF(tb_medicamentos[codTecnologiaSalud],F296)&gt;0,SUMIF(tb_medicamentos[codTecnologiaSalud],F296,tb_medicamentos[cantidadMedicamento]),IF(COUNTIF(tb_otrosservicios[codTecnologiaSalud],F296)&gt;0,SUMIF(tb_otrosservicios[codTecnologiaSalud],F296,tb_otrosservicios[cantidadOS]),)))),"")</f>
        <v/>
      </c>
      <c r="M296" s="26" t="str">
        <f>IF(F296&lt;&gt;"",IF(COUNTIF(tb_consultas[codConsulta],F296)&gt;0,SUMIF(tb_consultas[codConsulta],F296,tb_consultas[vrServicio]),IF(COUNTIF(tb_procedimientos[codProcedimiento],F296),SUMIF(tb_procedimientos[codProcedimiento],F296,tb_procedimientos[vrServicio]),IF(COUNTIF(tb_medicamentos[codTecnologiaSalud],F296)&gt;0,SUMIF(tb_medicamentos[codTecnologiaSalud],F296,tb_medicamentos[vrServicio]),IF(COUNTIF(tb_otrosservicios[codTecnologiaSalud],F296)&gt;0,SUMIF(tb_otrosservicios[codTecnologiaSalud],F296,tb_otrosservicios[vrServicio]),)))),"")</f>
        <v/>
      </c>
      <c r="N296" s="33"/>
    </row>
    <row r="297" spans="6:14" x14ac:dyDescent="0.25">
      <c r="F297" s="30"/>
      <c r="G297" s="31"/>
      <c r="H297" s="38"/>
      <c r="I297" s="32"/>
      <c r="J297" s="32"/>
      <c r="K297" s="26"/>
      <c r="L297" s="11" t="str">
        <f>IF(F297&lt;&gt;"",IF(COUNTIF(tb_consultas[codConsulta],F297)&gt;0,COUNTIF(tb_consultas[codConsulta],F297),IF(COUNTIF(tb_procedimientos[codProcedimiento],F297),COUNTIF(tb_procedimientos[codProcedimiento],F297),IF(COUNTIF(tb_medicamentos[codTecnologiaSalud],F297)&gt;0,SUMIF(tb_medicamentos[codTecnologiaSalud],F297,tb_medicamentos[cantidadMedicamento]),IF(COUNTIF(tb_otrosservicios[codTecnologiaSalud],F297)&gt;0,SUMIF(tb_otrosservicios[codTecnologiaSalud],F297,tb_otrosservicios[cantidadOS]),)))),"")</f>
        <v/>
      </c>
      <c r="M297" s="26" t="str">
        <f>IF(F297&lt;&gt;"",IF(COUNTIF(tb_consultas[codConsulta],F297)&gt;0,SUMIF(tb_consultas[codConsulta],F297,tb_consultas[vrServicio]),IF(COUNTIF(tb_procedimientos[codProcedimiento],F297),SUMIF(tb_procedimientos[codProcedimiento],F297,tb_procedimientos[vrServicio]),IF(COUNTIF(tb_medicamentos[codTecnologiaSalud],F297)&gt;0,SUMIF(tb_medicamentos[codTecnologiaSalud],F297,tb_medicamentos[vrServicio]),IF(COUNTIF(tb_otrosservicios[codTecnologiaSalud],F297)&gt;0,SUMIF(tb_otrosservicios[codTecnologiaSalud],F297,tb_otrosservicios[vrServicio]),)))),"")</f>
        <v/>
      </c>
      <c r="N297" s="33"/>
    </row>
    <row r="298" spans="6:14" x14ac:dyDescent="0.25">
      <c r="F298" s="30"/>
      <c r="G298" s="31"/>
      <c r="H298" s="38"/>
      <c r="I298" s="32"/>
      <c r="J298" s="32"/>
      <c r="K298" s="26"/>
      <c r="L298" s="11" t="str">
        <f>IF(F298&lt;&gt;"",IF(COUNTIF(tb_consultas[codConsulta],F298)&gt;0,COUNTIF(tb_consultas[codConsulta],F298),IF(COUNTIF(tb_procedimientos[codProcedimiento],F298),COUNTIF(tb_procedimientos[codProcedimiento],F298),IF(COUNTIF(tb_medicamentos[codTecnologiaSalud],F298)&gt;0,SUMIF(tb_medicamentos[codTecnologiaSalud],F298,tb_medicamentos[cantidadMedicamento]),IF(COUNTIF(tb_otrosservicios[codTecnologiaSalud],F298)&gt;0,SUMIF(tb_otrosservicios[codTecnologiaSalud],F298,tb_otrosservicios[cantidadOS]),)))),"")</f>
        <v/>
      </c>
      <c r="M298" s="26" t="str">
        <f>IF(F298&lt;&gt;"",IF(COUNTIF(tb_consultas[codConsulta],F298)&gt;0,SUMIF(tb_consultas[codConsulta],F298,tb_consultas[vrServicio]),IF(COUNTIF(tb_procedimientos[codProcedimiento],F298),SUMIF(tb_procedimientos[codProcedimiento],F298,tb_procedimientos[vrServicio]),IF(COUNTIF(tb_medicamentos[codTecnologiaSalud],F298)&gt;0,SUMIF(tb_medicamentos[codTecnologiaSalud],F298,tb_medicamentos[vrServicio]),IF(COUNTIF(tb_otrosservicios[codTecnologiaSalud],F298)&gt;0,SUMIF(tb_otrosservicios[codTecnologiaSalud],F298,tb_otrosservicios[vrServicio]),)))),"")</f>
        <v/>
      </c>
      <c r="N298" s="33"/>
    </row>
    <row r="299" spans="6:14" x14ac:dyDescent="0.25">
      <c r="F299" s="30"/>
      <c r="G299" s="31"/>
      <c r="H299" s="38"/>
      <c r="I299" s="32"/>
      <c r="J299" s="32"/>
      <c r="K299" s="26"/>
      <c r="L299" s="11" t="str">
        <f>IF(F299&lt;&gt;"",IF(COUNTIF(tb_consultas[codConsulta],F299)&gt;0,COUNTIF(tb_consultas[codConsulta],F299),IF(COUNTIF(tb_procedimientos[codProcedimiento],F299),COUNTIF(tb_procedimientos[codProcedimiento],F299),IF(COUNTIF(tb_medicamentos[codTecnologiaSalud],F299)&gt;0,SUMIF(tb_medicamentos[codTecnologiaSalud],F299,tb_medicamentos[cantidadMedicamento]),IF(COUNTIF(tb_otrosservicios[codTecnologiaSalud],F299)&gt;0,SUMIF(tb_otrosservicios[codTecnologiaSalud],F299,tb_otrosservicios[cantidadOS]),)))),"")</f>
        <v/>
      </c>
      <c r="M299" s="26" t="str">
        <f>IF(F299&lt;&gt;"",IF(COUNTIF(tb_consultas[codConsulta],F299)&gt;0,SUMIF(tb_consultas[codConsulta],F299,tb_consultas[vrServicio]),IF(COUNTIF(tb_procedimientos[codProcedimiento],F299),SUMIF(tb_procedimientos[codProcedimiento],F299,tb_procedimientos[vrServicio]),IF(COUNTIF(tb_medicamentos[codTecnologiaSalud],F299)&gt;0,SUMIF(tb_medicamentos[codTecnologiaSalud],F299,tb_medicamentos[vrServicio]),IF(COUNTIF(tb_otrosservicios[codTecnologiaSalud],F299)&gt;0,SUMIF(tb_otrosservicios[codTecnologiaSalud],F299,tb_otrosservicios[vrServicio]),)))),"")</f>
        <v/>
      </c>
      <c r="N299" s="33"/>
    </row>
    <row r="300" spans="6:14" x14ac:dyDescent="0.25">
      <c r="F300" s="30"/>
      <c r="G300" s="31"/>
      <c r="H300" s="38"/>
      <c r="I300" s="32"/>
      <c r="J300" s="32"/>
      <c r="K300" s="26"/>
      <c r="L300" s="11" t="str">
        <f>IF(F300&lt;&gt;"",IF(COUNTIF(tb_consultas[codConsulta],F300)&gt;0,COUNTIF(tb_consultas[codConsulta],F300),IF(COUNTIF(tb_procedimientos[codProcedimiento],F300),COUNTIF(tb_procedimientos[codProcedimiento],F300),IF(COUNTIF(tb_medicamentos[codTecnologiaSalud],F300)&gt;0,SUMIF(tb_medicamentos[codTecnologiaSalud],F300,tb_medicamentos[cantidadMedicamento]),IF(COUNTIF(tb_otrosservicios[codTecnologiaSalud],F300)&gt;0,SUMIF(tb_otrosservicios[codTecnologiaSalud],F300,tb_otrosservicios[cantidadOS]),)))),"")</f>
        <v/>
      </c>
      <c r="M300" s="26" t="str">
        <f>IF(F300&lt;&gt;"",IF(COUNTIF(tb_consultas[codConsulta],F300)&gt;0,SUMIF(tb_consultas[codConsulta],F300,tb_consultas[vrServicio]),IF(COUNTIF(tb_procedimientos[codProcedimiento],F300),SUMIF(tb_procedimientos[codProcedimiento],F300,tb_procedimientos[vrServicio]),IF(COUNTIF(tb_medicamentos[codTecnologiaSalud],F300)&gt;0,SUMIF(tb_medicamentos[codTecnologiaSalud],F300,tb_medicamentos[vrServicio]),IF(COUNTIF(tb_otrosservicios[codTecnologiaSalud],F300)&gt;0,SUMIF(tb_otrosservicios[codTecnologiaSalud],F300,tb_otrosservicios[vrServicio]),)))),"")</f>
        <v/>
      </c>
      <c r="N300" s="33"/>
    </row>
    <row r="301" spans="6:14" x14ac:dyDescent="0.25">
      <c r="F301" s="30"/>
      <c r="G301" s="31"/>
      <c r="H301" s="38"/>
      <c r="I301" s="32"/>
      <c r="J301" s="32"/>
      <c r="K301" s="26"/>
      <c r="L301" s="11" t="str">
        <f>IF(F301&lt;&gt;"",IF(COUNTIF(tb_consultas[codConsulta],F301)&gt;0,COUNTIF(tb_consultas[codConsulta],F301),IF(COUNTIF(tb_procedimientos[codProcedimiento],F301),COUNTIF(tb_procedimientos[codProcedimiento],F301),IF(COUNTIF(tb_medicamentos[codTecnologiaSalud],F301)&gt;0,SUMIF(tb_medicamentos[codTecnologiaSalud],F301,tb_medicamentos[cantidadMedicamento]),IF(COUNTIF(tb_otrosservicios[codTecnologiaSalud],F301)&gt;0,SUMIF(tb_otrosservicios[codTecnologiaSalud],F301,tb_otrosservicios[cantidadOS]),)))),"")</f>
        <v/>
      </c>
      <c r="M301" s="26" t="str">
        <f>IF(F301&lt;&gt;"",IF(COUNTIF(tb_consultas[codConsulta],F301)&gt;0,SUMIF(tb_consultas[codConsulta],F301,tb_consultas[vrServicio]),IF(COUNTIF(tb_procedimientos[codProcedimiento],F301),SUMIF(tb_procedimientos[codProcedimiento],F301,tb_procedimientos[vrServicio]),IF(COUNTIF(tb_medicamentos[codTecnologiaSalud],F301)&gt;0,SUMIF(tb_medicamentos[codTecnologiaSalud],F301,tb_medicamentos[vrServicio]),IF(COUNTIF(tb_otrosservicios[codTecnologiaSalud],F301)&gt;0,SUMIF(tb_otrosservicios[codTecnologiaSalud],F301,tb_otrosservicios[vrServicio]),)))),"")</f>
        <v/>
      </c>
      <c r="N301" s="33"/>
    </row>
    <row r="302" spans="6:14" x14ac:dyDescent="0.25">
      <c r="F302" s="30"/>
      <c r="G302" s="31"/>
      <c r="H302" s="38"/>
      <c r="I302" s="32"/>
      <c r="J302" s="32"/>
      <c r="K302" s="26"/>
      <c r="L302" s="11" t="str">
        <f>IF(F302&lt;&gt;"",IF(COUNTIF(tb_consultas[codConsulta],F302)&gt;0,COUNTIF(tb_consultas[codConsulta],F302),IF(COUNTIF(tb_procedimientos[codProcedimiento],F302),COUNTIF(tb_procedimientos[codProcedimiento],F302),IF(COUNTIF(tb_medicamentos[codTecnologiaSalud],F302)&gt;0,SUMIF(tb_medicamentos[codTecnologiaSalud],F302,tb_medicamentos[cantidadMedicamento]),IF(COUNTIF(tb_otrosservicios[codTecnologiaSalud],F302)&gt;0,SUMIF(tb_otrosservicios[codTecnologiaSalud],F302,tb_otrosservicios[cantidadOS]),)))),"")</f>
        <v/>
      </c>
      <c r="M302" s="26" t="str">
        <f>IF(F302&lt;&gt;"",IF(COUNTIF(tb_consultas[codConsulta],F302)&gt;0,SUMIF(tb_consultas[codConsulta],F302,tb_consultas[vrServicio]),IF(COUNTIF(tb_procedimientos[codProcedimiento],F302),SUMIF(tb_procedimientos[codProcedimiento],F302,tb_procedimientos[vrServicio]),IF(COUNTIF(tb_medicamentos[codTecnologiaSalud],F302)&gt;0,SUMIF(tb_medicamentos[codTecnologiaSalud],F302,tb_medicamentos[vrServicio]),IF(COUNTIF(tb_otrosservicios[codTecnologiaSalud],F302)&gt;0,SUMIF(tb_otrosservicios[codTecnologiaSalud],F302,tb_otrosservicios[vrServicio]),)))),"")</f>
        <v/>
      </c>
      <c r="N302" s="33"/>
    </row>
    <row r="303" spans="6:14" x14ac:dyDescent="0.25">
      <c r="F303" s="30"/>
      <c r="G303" s="31"/>
      <c r="H303" s="38"/>
      <c r="I303" s="32"/>
      <c r="J303" s="32"/>
      <c r="K303" s="26"/>
      <c r="L303" s="11" t="str">
        <f>IF(F303&lt;&gt;"",IF(COUNTIF(tb_consultas[codConsulta],F303)&gt;0,COUNTIF(tb_consultas[codConsulta],F303),IF(COUNTIF(tb_procedimientos[codProcedimiento],F303),COUNTIF(tb_procedimientos[codProcedimiento],F303),IF(COUNTIF(tb_medicamentos[codTecnologiaSalud],F303)&gt;0,SUMIF(tb_medicamentos[codTecnologiaSalud],F303,tb_medicamentos[cantidadMedicamento]),IF(COUNTIF(tb_otrosservicios[codTecnologiaSalud],F303)&gt;0,SUMIF(tb_otrosservicios[codTecnologiaSalud],F303,tb_otrosservicios[cantidadOS]),)))),"")</f>
        <v/>
      </c>
      <c r="M303" s="26" t="str">
        <f>IF(F303&lt;&gt;"",IF(COUNTIF(tb_consultas[codConsulta],F303)&gt;0,SUMIF(tb_consultas[codConsulta],F303,tb_consultas[vrServicio]),IF(COUNTIF(tb_procedimientos[codProcedimiento],F303),SUMIF(tb_procedimientos[codProcedimiento],F303,tb_procedimientos[vrServicio]),IF(COUNTIF(tb_medicamentos[codTecnologiaSalud],F303)&gt;0,SUMIF(tb_medicamentos[codTecnologiaSalud],F303,tb_medicamentos[vrServicio]),IF(COUNTIF(tb_otrosservicios[codTecnologiaSalud],F303)&gt;0,SUMIF(tb_otrosservicios[codTecnologiaSalud],F303,tb_otrosservicios[vrServicio]),)))),"")</f>
        <v/>
      </c>
      <c r="N303" s="33"/>
    </row>
    <row r="304" spans="6:14" x14ac:dyDescent="0.25">
      <c r="F304" s="30"/>
      <c r="G304" s="31"/>
      <c r="H304" s="38"/>
      <c r="I304" s="32"/>
      <c r="J304" s="32"/>
      <c r="K304" s="26"/>
      <c r="L304" s="11" t="str">
        <f>IF(F304&lt;&gt;"",IF(COUNTIF(tb_consultas[codConsulta],F304)&gt;0,COUNTIF(tb_consultas[codConsulta],F304),IF(COUNTIF(tb_procedimientos[codProcedimiento],F304),COUNTIF(tb_procedimientos[codProcedimiento],F304),IF(COUNTIF(tb_medicamentos[codTecnologiaSalud],F304)&gt;0,SUMIF(tb_medicamentos[codTecnologiaSalud],F304,tb_medicamentos[cantidadMedicamento]),IF(COUNTIF(tb_otrosservicios[codTecnologiaSalud],F304)&gt;0,SUMIF(tb_otrosservicios[codTecnologiaSalud],F304,tb_otrosservicios[cantidadOS]),)))),"")</f>
        <v/>
      </c>
      <c r="M304" s="26" t="str">
        <f>IF(F304&lt;&gt;"",IF(COUNTIF(tb_consultas[codConsulta],F304)&gt;0,SUMIF(tb_consultas[codConsulta],F304,tb_consultas[vrServicio]),IF(COUNTIF(tb_procedimientos[codProcedimiento],F304),SUMIF(tb_procedimientos[codProcedimiento],F304,tb_procedimientos[vrServicio]),IF(COUNTIF(tb_medicamentos[codTecnologiaSalud],F304)&gt;0,SUMIF(tb_medicamentos[codTecnologiaSalud],F304,tb_medicamentos[vrServicio]),IF(COUNTIF(tb_otrosservicios[codTecnologiaSalud],F304)&gt;0,SUMIF(tb_otrosservicios[codTecnologiaSalud],F304,tb_otrosservicios[vrServicio]),)))),"")</f>
        <v/>
      </c>
      <c r="N304" s="33"/>
    </row>
    <row r="305" spans="6:14" x14ac:dyDescent="0.25">
      <c r="F305" s="30"/>
      <c r="G305" s="31"/>
      <c r="H305" s="38"/>
      <c r="I305" s="32"/>
      <c r="J305" s="32"/>
      <c r="K305" s="26"/>
      <c r="L305" s="11" t="str">
        <f>IF(F305&lt;&gt;"",IF(COUNTIF(tb_consultas[codConsulta],F305)&gt;0,COUNTIF(tb_consultas[codConsulta],F305),IF(COUNTIF(tb_procedimientos[codProcedimiento],F305),COUNTIF(tb_procedimientos[codProcedimiento],F305),IF(COUNTIF(tb_medicamentos[codTecnologiaSalud],F305)&gt;0,SUMIF(tb_medicamentos[codTecnologiaSalud],F305,tb_medicamentos[cantidadMedicamento]),IF(COUNTIF(tb_otrosservicios[codTecnologiaSalud],F305)&gt;0,SUMIF(tb_otrosservicios[codTecnologiaSalud],F305,tb_otrosservicios[cantidadOS]),)))),"")</f>
        <v/>
      </c>
      <c r="M305" s="26" t="str">
        <f>IF(F305&lt;&gt;"",IF(COUNTIF(tb_consultas[codConsulta],F305)&gt;0,SUMIF(tb_consultas[codConsulta],F305,tb_consultas[vrServicio]),IF(COUNTIF(tb_procedimientos[codProcedimiento],F305),SUMIF(tb_procedimientos[codProcedimiento],F305,tb_procedimientos[vrServicio]),IF(COUNTIF(tb_medicamentos[codTecnologiaSalud],F305)&gt;0,SUMIF(tb_medicamentos[codTecnologiaSalud],F305,tb_medicamentos[vrServicio]),IF(COUNTIF(tb_otrosservicios[codTecnologiaSalud],F305)&gt;0,SUMIF(tb_otrosservicios[codTecnologiaSalud],F305,tb_otrosservicios[vrServicio]),)))),"")</f>
        <v/>
      </c>
      <c r="N305" s="33"/>
    </row>
    <row r="306" spans="6:14" x14ac:dyDescent="0.25">
      <c r="F306" s="30"/>
      <c r="G306" s="31"/>
      <c r="H306" s="38"/>
      <c r="I306" s="32"/>
      <c r="J306" s="32"/>
      <c r="K306" s="26"/>
      <c r="L306" s="11" t="str">
        <f>IF(F306&lt;&gt;"",IF(COUNTIF(tb_consultas[codConsulta],F306)&gt;0,COUNTIF(tb_consultas[codConsulta],F306),IF(COUNTIF(tb_procedimientos[codProcedimiento],F306),COUNTIF(tb_procedimientos[codProcedimiento],F306),IF(COUNTIF(tb_medicamentos[codTecnologiaSalud],F306)&gt;0,SUMIF(tb_medicamentos[codTecnologiaSalud],F306,tb_medicamentos[cantidadMedicamento]),IF(COUNTIF(tb_otrosservicios[codTecnologiaSalud],F306)&gt;0,SUMIF(tb_otrosservicios[codTecnologiaSalud],F306,tb_otrosservicios[cantidadOS]),)))),"")</f>
        <v/>
      </c>
      <c r="M306" s="26" t="str">
        <f>IF(F306&lt;&gt;"",IF(COUNTIF(tb_consultas[codConsulta],F306)&gt;0,SUMIF(tb_consultas[codConsulta],F306,tb_consultas[vrServicio]),IF(COUNTIF(tb_procedimientos[codProcedimiento],F306),SUMIF(tb_procedimientos[codProcedimiento],F306,tb_procedimientos[vrServicio]),IF(COUNTIF(tb_medicamentos[codTecnologiaSalud],F306)&gt;0,SUMIF(tb_medicamentos[codTecnologiaSalud],F306,tb_medicamentos[vrServicio]),IF(COUNTIF(tb_otrosservicios[codTecnologiaSalud],F306)&gt;0,SUMIF(tb_otrosservicios[codTecnologiaSalud],F306,tb_otrosservicios[vrServicio]),)))),"")</f>
        <v/>
      </c>
      <c r="N306" s="33"/>
    </row>
    <row r="307" spans="6:14" x14ac:dyDescent="0.25">
      <c r="F307" s="30"/>
      <c r="G307" s="31"/>
      <c r="H307" s="38"/>
      <c r="I307" s="32"/>
      <c r="J307" s="32"/>
      <c r="K307" s="26"/>
      <c r="L307" s="11" t="str">
        <f>IF(F307&lt;&gt;"",IF(COUNTIF(tb_consultas[codConsulta],F307)&gt;0,COUNTIF(tb_consultas[codConsulta],F307),IF(COUNTIF(tb_procedimientos[codProcedimiento],F307),COUNTIF(tb_procedimientos[codProcedimiento],F307),IF(COUNTIF(tb_medicamentos[codTecnologiaSalud],F307)&gt;0,SUMIF(tb_medicamentos[codTecnologiaSalud],F307,tb_medicamentos[cantidadMedicamento]),IF(COUNTIF(tb_otrosservicios[codTecnologiaSalud],F307)&gt;0,SUMIF(tb_otrosservicios[codTecnologiaSalud],F307,tb_otrosservicios[cantidadOS]),)))),"")</f>
        <v/>
      </c>
      <c r="M307" s="26" t="str">
        <f>IF(F307&lt;&gt;"",IF(COUNTIF(tb_consultas[codConsulta],F307)&gt;0,SUMIF(tb_consultas[codConsulta],F307,tb_consultas[vrServicio]),IF(COUNTIF(tb_procedimientos[codProcedimiento],F307),SUMIF(tb_procedimientos[codProcedimiento],F307,tb_procedimientos[vrServicio]),IF(COUNTIF(tb_medicamentos[codTecnologiaSalud],F307)&gt;0,SUMIF(tb_medicamentos[codTecnologiaSalud],F307,tb_medicamentos[vrServicio]),IF(COUNTIF(tb_otrosservicios[codTecnologiaSalud],F307)&gt;0,SUMIF(tb_otrosservicios[codTecnologiaSalud],F307,tb_otrosservicios[vrServicio]),)))),"")</f>
        <v/>
      </c>
      <c r="N307" s="33"/>
    </row>
    <row r="308" spans="6:14" x14ac:dyDescent="0.25">
      <c r="F308" s="30"/>
      <c r="G308" s="31"/>
      <c r="H308" s="38"/>
      <c r="I308" s="32"/>
      <c r="J308" s="32"/>
      <c r="K308" s="26"/>
      <c r="L308" s="11" t="str">
        <f>IF(F308&lt;&gt;"",IF(COUNTIF(tb_consultas[codConsulta],F308)&gt;0,COUNTIF(tb_consultas[codConsulta],F308),IF(COUNTIF(tb_procedimientos[codProcedimiento],F308),COUNTIF(tb_procedimientos[codProcedimiento],F308),IF(COUNTIF(tb_medicamentos[codTecnologiaSalud],F308)&gt;0,SUMIF(tb_medicamentos[codTecnologiaSalud],F308,tb_medicamentos[cantidadMedicamento]),IF(COUNTIF(tb_otrosservicios[codTecnologiaSalud],F308)&gt;0,SUMIF(tb_otrosservicios[codTecnologiaSalud],F308,tb_otrosservicios[cantidadOS]),)))),"")</f>
        <v/>
      </c>
      <c r="M308" s="26" t="str">
        <f>IF(F308&lt;&gt;"",IF(COUNTIF(tb_consultas[codConsulta],F308)&gt;0,SUMIF(tb_consultas[codConsulta],F308,tb_consultas[vrServicio]),IF(COUNTIF(tb_procedimientos[codProcedimiento],F308),SUMIF(tb_procedimientos[codProcedimiento],F308,tb_procedimientos[vrServicio]),IF(COUNTIF(tb_medicamentos[codTecnologiaSalud],F308)&gt;0,SUMIF(tb_medicamentos[codTecnologiaSalud],F308,tb_medicamentos[vrServicio]),IF(COUNTIF(tb_otrosservicios[codTecnologiaSalud],F308)&gt;0,SUMIF(tb_otrosservicios[codTecnologiaSalud],F308,tb_otrosservicios[vrServicio]),)))),"")</f>
        <v/>
      </c>
      <c r="N308" s="33"/>
    </row>
    <row r="309" spans="6:14" x14ac:dyDescent="0.25">
      <c r="F309" s="30"/>
      <c r="G309" s="31"/>
      <c r="H309" s="38"/>
      <c r="I309" s="32"/>
      <c r="J309" s="32"/>
      <c r="K309" s="26"/>
      <c r="L309" s="11" t="str">
        <f>IF(F309&lt;&gt;"",IF(COUNTIF(tb_consultas[codConsulta],F309)&gt;0,COUNTIF(tb_consultas[codConsulta],F309),IF(COUNTIF(tb_procedimientos[codProcedimiento],F309),COUNTIF(tb_procedimientos[codProcedimiento],F309),IF(COUNTIF(tb_medicamentos[codTecnologiaSalud],F309)&gt;0,SUMIF(tb_medicamentos[codTecnologiaSalud],F309,tb_medicamentos[cantidadMedicamento]),IF(COUNTIF(tb_otrosservicios[codTecnologiaSalud],F309)&gt;0,SUMIF(tb_otrosservicios[codTecnologiaSalud],F309,tb_otrosservicios[cantidadOS]),)))),"")</f>
        <v/>
      </c>
      <c r="M309" s="26" t="str">
        <f>IF(F309&lt;&gt;"",IF(COUNTIF(tb_consultas[codConsulta],F309)&gt;0,SUMIF(tb_consultas[codConsulta],F309,tb_consultas[vrServicio]),IF(COUNTIF(tb_procedimientos[codProcedimiento],F309),SUMIF(tb_procedimientos[codProcedimiento],F309,tb_procedimientos[vrServicio]),IF(COUNTIF(tb_medicamentos[codTecnologiaSalud],F309)&gt;0,SUMIF(tb_medicamentos[codTecnologiaSalud],F309,tb_medicamentos[vrServicio]),IF(COUNTIF(tb_otrosservicios[codTecnologiaSalud],F309)&gt;0,SUMIF(tb_otrosservicios[codTecnologiaSalud],F309,tb_otrosservicios[vrServicio]),)))),"")</f>
        <v/>
      </c>
      <c r="N309" s="33"/>
    </row>
    <row r="310" spans="6:14" x14ac:dyDescent="0.25">
      <c r="F310" s="30"/>
      <c r="G310" s="31"/>
      <c r="H310" s="38"/>
      <c r="I310" s="32"/>
      <c r="J310" s="32"/>
      <c r="K310" s="26"/>
      <c r="L310" s="11" t="str">
        <f>IF(F310&lt;&gt;"",IF(COUNTIF(tb_consultas[codConsulta],F310)&gt;0,COUNTIF(tb_consultas[codConsulta],F310),IF(COUNTIF(tb_procedimientos[codProcedimiento],F310),COUNTIF(tb_procedimientos[codProcedimiento],F310),IF(COUNTIF(tb_medicamentos[codTecnologiaSalud],F310)&gt;0,SUMIF(tb_medicamentos[codTecnologiaSalud],F310,tb_medicamentos[cantidadMedicamento]),IF(COUNTIF(tb_otrosservicios[codTecnologiaSalud],F310)&gt;0,SUMIF(tb_otrosservicios[codTecnologiaSalud],F310,tb_otrosservicios[cantidadOS]),)))),"")</f>
        <v/>
      </c>
      <c r="M310" s="26" t="str">
        <f>IF(F310&lt;&gt;"",IF(COUNTIF(tb_consultas[codConsulta],F310)&gt;0,SUMIF(tb_consultas[codConsulta],F310,tb_consultas[vrServicio]),IF(COUNTIF(tb_procedimientos[codProcedimiento],F310),SUMIF(tb_procedimientos[codProcedimiento],F310,tb_procedimientos[vrServicio]),IF(COUNTIF(tb_medicamentos[codTecnologiaSalud],F310)&gt;0,SUMIF(tb_medicamentos[codTecnologiaSalud],F310,tb_medicamentos[vrServicio]),IF(COUNTIF(tb_otrosservicios[codTecnologiaSalud],F310)&gt;0,SUMIF(tb_otrosservicios[codTecnologiaSalud],F310,tb_otrosservicios[vrServicio]),)))),"")</f>
        <v/>
      </c>
      <c r="N310" s="33"/>
    </row>
    <row r="311" spans="6:14" x14ac:dyDescent="0.25">
      <c r="F311" s="30"/>
      <c r="G311" s="31"/>
      <c r="H311" s="38"/>
      <c r="I311" s="32"/>
      <c r="J311" s="32"/>
      <c r="K311" s="26"/>
      <c r="L311" s="11" t="str">
        <f>IF(F311&lt;&gt;"",IF(COUNTIF(tb_consultas[codConsulta],F311)&gt;0,COUNTIF(tb_consultas[codConsulta],F311),IF(COUNTIF(tb_procedimientos[codProcedimiento],F311),COUNTIF(tb_procedimientos[codProcedimiento],F311),IF(COUNTIF(tb_medicamentos[codTecnologiaSalud],F311)&gt;0,SUMIF(tb_medicamentos[codTecnologiaSalud],F311,tb_medicamentos[cantidadMedicamento]),IF(COUNTIF(tb_otrosservicios[codTecnologiaSalud],F311)&gt;0,SUMIF(tb_otrosservicios[codTecnologiaSalud],F311,tb_otrosservicios[cantidadOS]),)))),"")</f>
        <v/>
      </c>
      <c r="M311" s="26" t="str">
        <f>IF(F311&lt;&gt;"",IF(COUNTIF(tb_consultas[codConsulta],F311)&gt;0,SUMIF(tb_consultas[codConsulta],F311,tb_consultas[vrServicio]),IF(COUNTIF(tb_procedimientos[codProcedimiento],F311),SUMIF(tb_procedimientos[codProcedimiento],F311,tb_procedimientos[vrServicio]),IF(COUNTIF(tb_medicamentos[codTecnologiaSalud],F311)&gt;0,SUMIF(tb_medicamentos[codTecnologiaSalud],F311,tb_medicamentos[vrServicio]),IF(COUNTIF(tb_otrosservicios[codTecnologiaSalud],F311)&gt;0,SUMIF(tb_otrosservicios[codTecnologiaSalud],F311,tb_otrosservicios[vrServicio]),)))),"")</f>
        <v/>
      </c>
      <c r="N311" s="33"/>
    </row>
    <row r="312" spans="6:14" x14ac:dyDescent="0.25">
      <c r="F312" s="30"/>
      <c r="G312" s="31"/>
      <c r="H312" s="38"/>
      <c r="I312" s="32"/>
      <c r="J312" s="32"/>
      <c r="K312" s="26"/>
      <c r="L312" s="11" t="str">
        <f>IF(F312&lt;&gt;"",IF(COUNTIF(tb_consultas[codConsulta],F312)&gt;0,COUNTIF(tb_consultas[codConsulta],F312),IF(COUNTIF(tb_procedimientos[codProcedimiento],F312),COUNTIF(tb_procedimientos[codProcedimiento],F312),IF(COUNTIF(tb_medicamentos[codTecnologiaSalud],F312)&gt;0,SUMIF(tb_medicamentos[codTecnologiaSalud],F312,tb_medicamentos[cantidadMedicamento]),IF(COUNTIF(tb_otrosservicios[codTecnologiaSalud],F312)&gt;0,SUMIF(tb_otrosservicios[codTecnologiaSalud],F312,tb_otrosservicios[cantidadOS]),)))),"")</f>
        <v/>
      </c>
      <c r="M312" s="26" t="str">
        <f>IF(F312&lt;&gt;"",IF(COUNTIF(tb_consultas[codConsulta],F312)&gt;0,SUMIF(tb_consultas[codConsulta],F312,tb_consultas[vrServicio]),IF(COUNTIF(tb_procedimientos[codProcedimiento],F312),SUMIF(tb_procedimientos[codProcedimiento],F312,tb_procedimientos[vrServicio]),IF(COUNTIF(tb_medicamentos[codTecnologiaSalud],F312)&gt;0,SUMIF(tb_medicamentos[codTecnologiaSalud],F312,tb_medicamentos[vrServicio]),IF(COUNTIF(tb_otrosservicios[codTecnologiaSalud],F312)&gt;0,SUMIF(tb_otrosservicios[codTecnologiaSalud],F312,tb_otrosservicios[vrServicio]),)))),"")</f>
        <v/>
      </c>
      <c r="N312" s="33"/>
    </row>
    <row r="313" spans="6:14" x14ac:dyDescent="0.25">
      <c r="F313" s="30"/>
      <c r="G313" s="31"/>
      <c r="H313" s="38"/>
      <c r="I313" s="32"/>
      <c r="J313" s="32"/>
      <c r="K313" s="26"/>
      <c r="L313" s="11" t="str">
        <f>IF(F313&lt;&gt;"",IF(COUNTIF(tb_consultas[codConsulta],F313)&gt;0,COUNTIF(tb_consultas[codConsulta],F313),IF(COUNTIF(tb_procedimientos[codProcedimiento],F313),COUNTIF(tb_procedimientos[codProcedimiento],F313),IF(COUNTIF(tb_medicamentos[codTecnologiaSalud],F313)&gt;0,SUMIF(tb_medicamentos[codTecnologiaSalud],F313,tb_medicamentos[cantidadMedicamento]),IF(COUNTIF(tb_otrosservicios[codTecnologiaSalud],F313)&gt;0,SUMIF(tb_otrosservicios[codTecnologiaSalud],F313,tb_otrosservicios[cantidadOS]),)))),"")</f>
        <v/>
      </c>
      <c r="M313" s="26" t="str">
        <f>IF(F313&lt;&gt;"",IF(COUNTIF(tb_consultas[codConsulta],F313)&gt;0,SUMIF(tb_consultas[codConsulta],F313,tb_consultas[vrServicio]),IF(COUNTIF(tb_procedimientos[codProcedimiento],F313),SUMIF(tb_procedimientos[codProcedimiento],F313,tb_procedimientos[vrServicio]),IF(COUNTIF(tb_medicamentos[codTecnologiaSalud],F313)&gt;0,SUMIF(tb_medicamentos[codTecnologiaSalud],F313,tb_medicamentos[vrServicio]),IF(COUNTIF(tb_otrosservicios[codTecnologiaSalud],F313)&gt;0,SUMIF(tb_otrosservicios[codTecnologiaSalud],F313,tb_otrosservicios[vrServicio]),)))),"")</f>
        <v/>
      </c>
      <c r="N313" s="33"/>
    </row>
    <row r="314" spans="6:14" x14ac:dyDescent="0.25">
      <c r="F314" s="30"/>
      <c r="G314" s="31"/>
      <c r="H314" s="38"/>
      <c r="I314" s="32"/>
      <c r="J314" s="32"/>
      <c r="K314" s="26"/>
      <c r="L314" s="11" t="str">
        <f>IF(F314&lt;&gt;"",IF(COUNTIF(tb_consultas[codConsulta],F314)&gt;0,COUNTIF(tb_consultas[codConsulta],F314),IF(COUNTIF(tb_procedimientos[codProcedimiento],F314),COUNTIF(tb_procedimientos[codProcedimiento],F314),IF(COUNTIF(tb_medicamentos[codTecnologiaSalud],F314)&gt;0,SUMIF(tb_medicamentos[codTecnologiaSalud],F314,tb_medicamentos[cantidadMedicamento]),IF(COUNTIF(tb_otrosservicios[codTecnologiaSalud],F314)&gt;0,SUMIF(tb_otrosservicios[codTecnologiaSalud],F314,tb_otrosservicios[cantidadOS]),)))),"")</f>
        <v/>
      </c>
      <c r="M314" s="26" t="str">
        <f>IF(F314&lt;&gt;"",IF(COUNTIF(tb_consultas[codConsulta],F314)&gt;0,SUMIF(tb_consultas[codConsulta],F314,tb_consultas[vrServicio]),IF(COUNTIF(tb_procedimientos[codProcedimiento],F314),SUMIF(tb_procedimientos[codProcedimiento],F314,tb_procedimientos[vrServicio]),IF(COUNTIF(tb_medicamentos[codTecnologiaSalud],F314)&gt;0,SUMIF(tb_medicamentos[codTecnologiaSalud],F314,tb_medicamentos[vrServicio]),IF(COUNTIF(tb_otrosservicios[codTecnologiaSalud],F314)&gt;0,SUMIF(tb_otrosservicios[codTecnologiaSalud],F314,tb_otrosservicios[vrServicio]),)))),"")</f>
        <v/>
      </c>
      <c r="N314" s="33"/>
    </row>
    <row r="315" spans="6:14" x14ac:dyDescent="0.25">
      <c r="F315" s="30"/>
      <c r="G315" s="31"/>
      <c r="H315" s="38"/>
      <c r="I315" s="32"/>
      <c r="J315" s="32"/>
      <c r="K315" s="26"/>
      <c r="L315" s="11" t="str">
        <f>IF(F315&lt;&gt;"",IF(COUNTIF(tb_consultas[codConsulta],F315)&gt;0,COUNTIF(tb_consultas[codConsulta],F315),IF(COUNTIF(tb_procedimientos[codProcedimiento],F315),COUNTIF(tb_procedimientos[codProcedimiento],F315),IF(COUNTIF(tb_medicamentos[codTecnologiaSalud],F315)&gt;0,SUMIF(tb_medicamentos[codTecnologiaSalud],F315,tb_medicamentos[cantidadMedicamento]),IF(COUNTIF(tb_otrosservicios[codTecnologiaSalud],F315)&gt;0,SUMIF(tb_otrosservicios[codTecnologiaSalud],F315,tb_otrosservicios[cantidadOS]),)))),"")</f>
        <v/>
      </c>
      <c r="M315" s="26" t="str">
        <f>IF(F315&lt;&gt;"",IF(COUNTIF(tb_consultas[codConsulta],F315)&gt;0,SUMIF(tb_consultas[codConsulta],F315,tb_consultas[vrServicio]),IF(COUNTIF(tb_procedimientos[codProcedimiento],F315),SUMIF(tb_procedimientos[codProcedimiento],F315,tb_procedimientos[vrServicio]),IF(COUNTIF(tb_medicamentos[codTecnologiaSalud],F315)&gt;0,SUMIF(tb_medicamentos[codTecnologiaSalud],F315,tb_medicamentos[vrServicio]),IF(COUNTIF(tb_otrosservicios[codTecnologiaSalud],F315)&gt;0,SUMIF(tb_otrosservicios[codTecnologiaSalud],F315,tb_otrosservicios[vrServicio]),)))),"")</f>
        <v/>
      </c>
      <c r="N315" s="33"/>
    </row>
    <row r="316" spans="6:14" x14ac:dyDescent="0.25">
      <c r="F316" s="30"/>
      <c r="G316" s="31"/>
      <c r="H316" s="38"/>
      <c r="I316" s="32"/>
      <c r="J316" s="32"/>
      <c r="K316" s="26"/>
      <c r="L316" s="11" t="str">
        <f>IF(F316&lt;&gt;"",IF(COUNTIF(tb_consultas[codConsulta],F316)&gt;0,COUNTIF(tb_consultas[codConsulta],F316),IF(COUNTIF(tb_procedimientos[codProcedimiento],F316),COUNTIF(tb_procedimientos[codProcedimiento],F316),IF(COUNTIF(tb_medicamentos[codTecnologiaSalud],F316)&gt;0,SUMIF(tb_medicamentos[codTecnologiaSalud],F316,tb_medicamentos[cantidadMedicamento]),IF(COUNTIF(tb_otrosservicios[codTecnologiaSalud],F316)&gt;0,SUMIF(tb_otrosservicios[codTecnologiaSalud],F316,tb_otrosservicios[cantidadOS]),)))),"")</f>
        <v/>
      </c>
      <c r="M316" s="26" t="str">
        <f>IF(F316&lt;&gt;"",IF(COUNTIF(tb_consultas[codConsulta],F316)&gt;0,SUMIF(tb_consultas[codConsulta],F316,tb_consultas[vrServicio]),IF(COUNTIF(tb_procedimientos[codProcedimiento],F316),SUMIF(tb_procedimientos[codProcedimiento],F316,tb_procedimientos[vrServicio]),IF(COUNTIF(tb_medicamentos[codTecnologiaSalud],F316)&gt;0,SUMIF(tb_medicamentos[codTecnologiaSalud],F316,tb_medicamentos[vrServicio]),IF(COUNTIF(tb_otrosservicios[codTecnologiaSalud],F316)&gt;0,SUMIF(tb_otrosservicios[codTecnologiaSalud],F316,tb_otrosservicios[vrServicio]),)))),"")</f>
        <v/>
      </c>
      <c r="N316" s="33"/>
    </row>
    <row r="317" spans="6:14" x14ac:dyDescent="0.25">
      <c r="F317" s="30"/>
      <c r="G317" s="31"/>
      <c r="H317" s="38"/>
      <c r="I317" s="32"/>
      <c r="J317" s="32"/>
      <c r="K317" s="26"/>
      <c r="L317" s="11" t="str">
        <f>IF(F317&lt;&gt;"",IF(COUNTIF(tb_consultas[codConsulta],F317)&gt;0,COUNTIF(tb_consultas[codConsulta],F317),IF(COUNTIF(tb_procedimientos[codProcedimiento],F317),COUNTIF(tb_procedimientos[codProcedimiento],F317),IF(COUNTIF(tb_medicamentos[codTecnologiaSalud],F317)&gt;0,SUMIF(tb_medicamentos[codTecnologiaSalud],F317,tb_medicamentos[cantidadMedicamento]),IF(COUNTIF(tb_otrosservicios[codTecnologiaSalud],F317)&gt;0,SUMIF(tb_otrosservicios[codTecnologiaSalud],F317,tb_otrosservicios[cantidadOS]),)))),"")</f>
        <v/>
      </c>
      <c r="M317" s="26" t="str">
        <f>IF(F317&lt;&gt;"",IF(COUNTIF(tb_consultas[codConsulta],F317)&gt;0,SUMIF(tb_consultas[codConsulta],F317,tb_consultas[vrServicio]),IF(COUNTIF(tb_procedimientos[codProcedimiento],F317),SUMIF(tb_procedimientos[codProcedimiento],F317,tb_procedimientos[vrServicio]),IF(COUNTIF(tb_medicamentos[codTecnologiaSalud],F317)&gt;0,SUMIF(tb_medicamentos[codTecnologiaSalud],F317,tb_medicamentos[vrServicio]),IF(COUNTIF(tb_otrosservicios[codTecnologiaSalud],F317)&gt;0,SUMIF(tb_otrosservicios[codTecnologiaSalud],F317,tb_otrosservicios[vrServicio]),)))),"")</f>
        <v/>
      </c>
      <c r="N317" s="33"/>
    </row>
    <row r="318" spans="6:14" x14ac:dyDescent="0.25">
      <c r="F318" s="30"/>
      <c r="G318" s="31"/>
      <c r="H318" s="38"/>
      <c r="I318" s="32"/>
      <c r="J318" s="32"/>
      <c r="K318" s="26"/>
      <c r="L318" s="11" t="str">
        <f>IF(F318&lt;&gt;"",IF(COUNTIF(tb_consultas[codConsulta],F318)&gt;0,COUNTIF(tb_consultas[codConsulta],F318),IF(COUNTIF(tb_procedimientos[codProcedimiento],F318),COUNTIF(tb_procedimientos[codProcedimiento],F318),IF(COUNTIF(tb_medicamentos[codTecnologiaSalud],F318)&gt;0,SUMIF(tb_medicamentos[codTecnologiaSalud],F318,tb_medicamentos[cantidadMedicamento]),IF(COUNTIF(tb_otrosservicios[codTecnologiaSalud],F318)&gt;0,SUMIF(tb_otrosservicios[codTecnologiaSalud],F318,tb_otrosservicios[cantidadOS]),)))),"")</f>
        <v/>
      </c>
      <c r="M318" s="26" t="str">
        <f>IF(F318&lt;&gt;"",IF(COUNTIF(tb_consultas[codConsulta],F318)&gt;0,SUMIF(tb_consultas[codConsulta],F318,tb_consultas[vrServicio]),IF(COUNTIF(tb_procedimientos[codProcedimiento],F318),SUMIF(tb_procedimientos[codProcedimiento],F318,tb_procedimientos[vrServicio]),IF(COUNTIF(tb_medicamentos[codTecnologiaSalud],F318)&gt;0,SUMIF(tb_medicamentos[codTecnologiaSalud],F318,tb_medicamentos[vrServicio]),IF(COUNTIF(tb_otrosservicios[codTecnologiaSalud],F318)&gt;0,SUMIF(tb_otrosservicios[codTecnologiaSalud],F318,tb_otrosservicios[vrServicio]),)))),"")</f>
        <v/>
      </c>
      <c r="N318" s="33"/>
    </row>
    <row r="319" spans="6:14" x14ac:dyDescent="0.25">
      <c r="F319" s="30"/>
      <c r="G319" s="31"/>
      <c r="H319" s="38"/>
      <c r="I319" s="32"/>
      <c r="J319" s="32"/>
      <c r="K319" s="26"/>
      <c r="L319" s="11" t="str">
        <f>IF(F319&lt;&gt;"",IF(COUNTIF(tb_consultas[codConsulta],F319)&gt;0,COUNTIF(tb_consultas[codConsulta],F319),IF(COUNTIF(tb_procedimientos[codProcedimiento],F319),COUNTIF(tb_procedimientos[codProcedimiento],F319),IF(COUNTIF(tb_medicamentos[codTecnologiaSalud],F319)&gt;0,SUMIF(tb_medicamentos[codTecnologiaSalud],F319,tb_medicamentos[cantidadMedicamento]),IF(COUNTIF(tb_otrosservicios[codTecnologiaSalud],F319)&gt;0,SUMIF(tb_otrosservicios[codTecnologiaSalud],F319,tb_otrosservicios[cantidadOS]),)))),"")</f>
        <v/>
      </c>
      <c r="M319" s="26" t="str">
        <f>IF(F319&lt;&gt;"",IF(COUNTIF(tb_consultas[codConsulta],F319)&gt;0,SUMIF(tb_consultas[codConsulta],F319,tb_consultas[vrServicio]),IF(COUNTIF(tb_procedimientos[codProcedimiento],F319),SUMIF(tb_procedimientos[codProcedimiento],F319,tb_procedimientos[vrServicio]),IF(COUNTIF(tb_medicamentos[codTecnologiaSalud],F319)&gt;0,SUMIF(tb_medicamentos[codTecnologiaSalud],F319,tb_medicamentos[vrServicio]),IF(COUNTIF(tb_otrosservicios[codTecnologiaSalud],F319)&gt;0,SUMIF(tb_otrosservicios[codTecnologiaSalud],F319,tb_otrosservicios[vrServicio]),)))),"")</f>
        <v/>
      </c>
      <c r="N319" s="33"/>
    </row>
    <row r="320" spans="6:14" x14ac:dyDescent="0.25">
      <c r="F320" s="30"/>
      <c r="G320" s="31"/>
      <c r="H320" s="38"/>
      <c r="I320" s="32"/>
      <c r="J320" s="32"/>
      <c r="K320" s="26"/>
      <c r="L320" s="11" t="str">
        <f>IF(F320&lt;&gt;"",IF(COUNTIF(tb_consultas[codConsulta],F320)&gt;0,COUNTIF(tb_consultas[codConsulta],F320),IF(COUNTIF(tb_procedimientos[codProcedimiento],F320),COUNTIF(tb_procedimientos[codProcedimiento],F320),IF(COUNTIF(tb_medicamentos[codTecnologiaSalud],F320)&gt;0,SUMIF(tb_medicamentos[codTecnologiaSalud],F320,tb_medicamentos[cantidadMedicamento]),IF(COUNTIF(tb_otrosservicios[codTecnologiaSalud],F320)&gt;0,SUMIF(tb_otrosservicios[codTecnologiaSalud],F320,tb_otrosservicios[cantidadOS]),)))),"")</f>
        <v/>
      </c>
      <c r="M320" s="26" t="str">
        <f>IF(F320&lt;&gt;"",IF(COUNTIF(tb_consultas[codConsulta],F320)&gt;0,SUMIF(tb_consultas[codConsulta],F320,tb_consultas[vrServicio]),IF(COUNTIF(tb_procedimientos[codProcedimiento],F320),SUMIF(tb_procedimientos[codProcedimiento],F320,tb_procedimientos[vrServicio]),IF(COUNTIF(tb_medicamentos[codTecnologiaSalud],F320)&gt;0,SUMIF(tb_medicamentos[codTecnologiaSalud],F320,tb_medicamentos[vrServicio]),IF(COUNTIF(tb_otrosservicios[codTecnologiaSalud],F320)&gt;0,SUMIF(tb_otrosservicios[codTecnologiaSalud],F320,tb_otrosservicios[vrServicio]),)))),"")</f>
        <v/>
      </c>
      <c r="N320" s="33"/>
    </row>
    <row r="321" spans="6:14" x14ac:dyDescent="0.25">
      <c r="F321" s="30"/>
      <c r="G321" s="31"/>
      <c r="H321" s="38"/>
      <c r="I321" s="32"/>
      <c r="J321" s="32"/>
      <c r="K321" s="26"/>
      <c r="L321" s="11" t="str">
        <f>IF(F321&lt;&gt;"",IF(COUNTIF(tb_consultas[codConsulta],F321)&gt;0,COUNTIF(tb_consultas[codConsulta],F321),IF(COUNTIF(tb_procedimientos[codProcedimiento],F321),COUNTIF(tb_procedimientos[codProcedimiento],F321),IF(COUNTIF(tb_medicamentos[codTecnologiaSalud],F321)&gt;0,SUMIF(tb_medicamentos[codTecnologiaSalud],F321,tb_medicamentos[cantidadMedicamento]),IF(COUNTIF(tb_otrosservicios[codTecnologiaSalud],F321)&gt;0,SUMIF(tb_otrosservicios[codTecnologiaSalud],F321,tb_otrosservicios[cantidadOS]),)))),"")</f>
        <v/>
      </c>
      <c r="M321" s="26" t="str">
        <f>IF(F321&lt;&gt;"",IF(COUNTIF(tb_consultas[codConsulta],F321)&gt;0,SUMIF(tb_consultas[codConsulta],F321,tb_consultas[vrServicio]),IF(COUNTIF(tb_procedimientos[codProcedimiento],F321),SUMIF(tb_procedimientos[codProcedimiento],F321,tb_procedimientos[vrServicio]),IF(COUNTIF(tb_medicamentos[codTecnologiaSalud],F321)&gt;0,SUMIF(tb_medicamentos[codTecnologiaSalud],F321,tb_medicamentos[vrServicio]),IF(COUNTIF(tb_otrosservicios[codTecnologiaSalud],F321)&gt;0,SUMIF(tb_otrosservicios[codTecnologiaSalud],F321,tb_otrosservicios[vrServicio]),)))),"")</f>
        <v/>
      </c>
      <c r="N321" s="33"/>
    </row>
    <row r="322" spans="6:14" x14ac:dyDescent="0.25">
      <c r="F322" s="30"/>
      <c r="G322" s="31"/>
      <c r="H322" s="38"/>
      <c r="I322" s="32"/>
      <c r="J322" s="32"/>
      <c r="K322" s="26"/>
      <c r="L322" s="11" t="str">
        <f>IF(F322&lt;&gt;"",IF(COUNTIF(tb_consultas[codConsulta],F322)&gt;0,COUNTIF(tb_consultas[codConsulta],F322),IF(COUNTIF(tb_procedimientos[codProcedimiento],F322),COUNTIF(tb_procedimientos[codProcedimiento],F322),IF(COUNTIF(tb_medicamentos[codTecnologiaSalud],F322)&gt;0,SUMIF(tb_medicamentos[codTecnologiaSalud],F322,tb_medicamentos[cantidadMedicamento]),IF(COUNTIF(tb_otrosservicios[codTecnologiaSalud],F322)&gt;0,SUMIF(tb_otrosservicios[codTecnologiaSalud],F322,tb_otrosservicios[cantidadOS]),)))),"")</f>
        <v/>
      </c>
      <c r="M322" s="26" t="str">
        <f>IF(F322&lt;&gt;"",IF(COUNTIF(tb_consultas[codConsulta],F322)&gt;0,SUMIF(tb_consultas[codConsulta],F322,tb_consultas[vrServicio]),IF(COUNTIF(tb_procedimientos[codProcedimiento],F322),SUMIF(tb_procedimientos[codProcedimiento],F322,tb_procedimientos[vrServicio]),IF(COUNTIF(tb_medicamentos[codTecnologiaSalud],F322)&gt;0,SUMIF(tb_medicamentos[codTecnologiaSalud],F322,tb_medicamentos[vrServicio]),IF(COUNTIF(tb_otrosservicios[codTecnologiaSalud],F322)&gt;0,SUMIF(tb_otrosservicios[codTecnologiaSalud],F322,tb_otrosservicios[vrServicio]),)))),"")</f>
        <v/>
      </c>
      <c r="N322" s="33"/>
    </row>
    <row r="323" spans="6:14" x14ac:dyDescent="0.25">
      <c r="F323" s="30"/>
      <c r="G323" s="31"/>
      <c r="H323" s="38"/>
      <c r="I323" s="32"/>
      <c r="J323" s="32"/>
      <c r="K323" s="26"/>
      <c r="L323" s="11" t="str">
        <f>IF(F323&lt;&gt;"",IF(COUNTIF(tb_consultas[codConsulta],F323)&gt;0,COUNTIF(tb_consultas[codConsulta],F323),IF(COUNTIF(tb_procedimientos[codProcedimiento],F323),COUNTIF(tb_procedimientos[codProcedimiento],F323),IF(COUNTIF(tb_medicamentos[codTecnologiaSalud],F323)&gt;0,SUMIF(tb_medicamentos[codTecnologiaSalud],F323,tb_medicamentos[cantidadMedicamento]),IF(COUNTIF(tb_otrosservicios[codTecnologiaSalud],F323)&gt;0,SUMIF(tb_otrosservicios[codTecnologiaSalud],F323,tb_otrosservicios[cantidadOS]),)))),"")</f>
        <v/>
      </c>
      <c r="M323" s="26" t="str">
        <f>IF(F323&lt;&gt;"",IF(COUNTIF(tb_consultas[codConsulta],F323)&gt;0,SUMIF(tb_consultas[codConsulta],F323,tb_consultas[vrServicio]),IF(COUNTIF(tb_procedimientos[codProcedimiento],F323),SUMIF(tb_procedimientos[codProcedimiento],F323,tb_procedimientos[vrServicio]),IF(COUNTIF(tb_medicamentos[codTecnologiaSalud],F323)&gt;0,SUMIF(tb_medicamentos[codTecnologiaSalud],F323,tb_medicamentos[vrServicio]),IF(COUNTIF(tb_otrosservicios[codTecnologiaSalud],F323)&gt;0,SUMIF(tb_otrosservicios[codTecnologiaSalud],F323,tb_otrosservicios[vrServicio]),)))),"")</f>
        <v/>
      </c>
      <c r="N323" s="33"/>
    </row>
    <row r="324" spans="6:14" x14ac:dyDescent="0.25">
      <c r="F324" s="30"/>
      <c r="G324" s="31"/>
      <c r="H324" s="38"/>
      <c r="I324" s="32"/>
      <c r="J324" s="32"/>
      <c r="K324" s="26"/>
      <c r="L324" s="11" t="str">
        <f>IF(F324&lt;&gt;"",IF(COUNTIF(tb_consultas[codConsulta],F324)&gt;0,COUNTIF(tb_consultas[codConsulta],F324),IF(COUNTIF(tb_procedimientos[codProcedimiento],F324),COUNTIF(tb_procedimientos[codProcedimiento],F324),IF(COUNTIF(tb_medicamentos[codTecnologiaSalud],F324)&gt;0,SUMIF(tb_medicamentos[codTecnologiaSalud],F324,tb_medicamentos[cantidadMedicamento]),IF(COUNTIF(tb_otrosservicios[codTecnologiaSalud],F324)&gt;0,SUMIF(tb_otrosservicios[codTecnologiaSalud],F324,tb_otrosservicios[cantidadOS]),)))),"")</f>
        <v/>
      </c>
      <c r="M324" s="26" t="str">
        <f>IF(F324&lt;&gt;"",IF(COUNTIF(tb_consultas[codConsulta],F324)&gt;0,SUMIF(tb_consultas[codConsulta],F324,tb_consultas[vrServicio]),IF(COUNTIF(tb_procedimientos[codProcedimiento],F324),SUMIF(tb_procedimientos[codProcedimiento],F324,tb_procedimientos[vrServicio]),IF(COUNTIF(tb_medicamentos[codTecnologiaSalud],F324)&gt;0,SUMIF(tb_medicamentos[codTecnologiaSalud],F324,tb_medicamentos[vrServicio]),IF(COUNTIF(tb_otrosservicios[codTecnologiaSalud],F324)&gt;0,SUMIF(tb_otrosservicios[codTecnologiaSalud],F324,tb_otrosservicios[vrServicio]),)))),"")</f>
        <v/>
      </c>
      <c r="N324" s="34"/>
    </row>
    <row r="325" spans="6:14" x14ac:dyDescent="0.25">
      <c r="F325" s="30"/>
      <c r="G325" s="31"/>
      <c r="H325" s="38"/>
      <c r="I325" s="32"/>
      <c r="J325" s="32"/>
      <c r="K325" s="26"/>
      <c r="L325" s="11" t="str">
        <f>IF(F325&lt;&gt;"",IF(COUNTIF(tb_consultas[codConsulta],F325)&gt;0,COUNTIF(tb_consultas[codConsulta],F325),IF(COUNTIF(tb_procedimientos[codProcedimiento],F325),COUNTIF(tb_procedimientos[codProcedimiento],F325),IF(COUNTIF(tb_medicamentos[codTecnologiaSalud],F325)&gt;0,SUMIF(tb_medicamentos[codTecnologiaSalud],F325,tb_medicamentos[cantidadMedicamento]),IF(COUNTIF(tb_otrosservicios[codTecnologiaSalud],F325)&gt;0,SUMIF(tb_otrosservicios[codTecnologiaSalud],F325,tb_otrosservicios[cantidadOS]),)))),"")</f>
        <v/>
      </c>
      <c r="M325" s="26" t="str">
        <f>IF(F325&lt;&gt;"",IF(COUNTIF(tb_consultas[codConsulta],F325)&gt;0,SUMIF(tb_consultas[codConsulta],F325,tb_consultas[vrServicio]),IF(COUNTIF(tb_procedimientos[codProcedimiento],F325),SUMIF(tb_procedimientos[codProcedimiento],F325,tb_procedimientos[vrServicio]),IF(COUNTIF(tb_medicamentos[codTecnologiaSalud],F325)&gt;0,SUMIF(tb_medicamentos[codTecnologiaSalud],F325,tb_medicamentos[vrServicio]),IF(COUNTIF(tb_otrosservicios[codTecnologiaSalud],F325)&gt;0,SUMIF(tb_otrosservicios[codTecnologiaSalud],F325,tb_otrosservicios[vrServicio]),)))),"")</f>
        <v/>
      </c>
      <c r="N325" s="34"/>
    </row>
    <row r="326" spans="6:14" x14ac:dyDescent="0.25">
      <c r="F326" s="30"/>
      <c r="G326" s="31"/>
      <c r="H326" s="38"/>
      <c r="I326" s="32"/>
      <c r="J326" s="32"/>
      <c r="K326" s="26"/>
      <c r="L326" s="11" t="str">
        <f>IF(F326&lt;&gt;"",IF(COUNTIF(tb_consultas[codConsulta],F326)&gt;0,COUNTIF(tb_consultas[codConsulta],F326),IF(COUNTIF(tb_procedimientos[codProcedimiento],F326),COUNTIF(tb_procedimientos[codProcedimiento],F326),IF(COUNTIF(tb_medicamentos[codTecnologiaSalud],F326)&gt;0,SUMIF(tb_medicamentos[codTecnologiaSalud],F326,tb_medicamentos[cantidadMedicamento]),IF(COUNTIF(tb_otrosservicios[codTecnologiaSalud],F326)&gt;0,SUMIF(tb_otrosservicios[codTecnologiaSalud],F326,tb_otrosservicios[cantidadOS]),)))),"")</f>
        <v/>
      </c>
      <c r="M326" s="26" t="str">
        <f>IF(F326&lt;&gt;"",IF(COUNTIF(tb_consultas[codConsulta],F326)&gt;0,SUMIF(tb_consultas[codConsulta],F326,tb_consultas[vrServicio]),IF(COUNTIF(tb_procedimientos[codProcedimiento],F326),SUMIF(tb_procedimientos[codProcedimiento],F326,tb_procedimientos[vrServicio]),IF(COUNTIF(tb_medicamentos[codTecnologiaSalud],F326)&gt;0,SUMIF(tb_medicamentos[codTecnologiaSalud],F326,tb_medicamentos[vrServicio]),IF(COUNTIF(tb_otrosservicios[codTecnologiaSalud],F326)&gt;0,SUMIF(tb_otrosservicios[codTecnologiaSalud],F326,tb_otrosservicios[vrServicio]),)))),"")</f>
        <v/>
      </c>
      <c r="N326" s="34"/>
    </row>
    <row r="327" spans="6:14" x14ac:dyDescent="0.25">
      <c r="F327" s="30"/>
      <c r="G327" s="31"/>
      <c r="H327" s="38"/>
      <c r="I327" s="32"/>
      <c r="J327" s="32"/>
      <c r="K327" s="26"/>
      <c r="L327" s="11" t="str">
        <f>IF(F327&lt;&gt;"",IF(COUNTIF(tb_consultas[codConsulta],F327)&gt;0,COUNTIF(tb_consultas[codConsulta],F327),IF(COUNTIF(tb_procedimientos[codProcedimiento],F327),COUNTIF(tb_procedimientos[codProcedimiento],F327),IF(COUNTIF(tb_medicamentos[codTecnologiaSalud],F327)&gt;0,SUMIF(tb_medicamentos[codTecnologiaSalud],F327,tb_medicamentos[cantidadMedicamento]),IF(COUNTIF(tb_otrosservicios[codTecnologiaSalud],F327)&gt;0,SUMIF(tb_otrosservicios[codTecnologiaSalud],F327,tb_otrosservicios[cantidadOS]),)))),"")</f>
        <v/>
      </c>
      <c r="M327" s="26" t="str">
        <f>IF(F327&lt;&gt;"",IF(COUNTIF(tb_consultas[codConsulta],F327)&gt;0,SUMIF(tb_consultas[codConsulta],F327,tb_consultas[vrServicio]),IF(COUNTIF(tb_procedimientos[codProcedimiento],F327),SUMIF(tb_procedimientos[codProcedimiento],F327,tb_procedimientos[vrServicio]),IF(COUNTIF(tb_medicamentos[codTecnologiaSalud],F327)&gt;0,SUMIF(tb_medicamentos[codTecnologiaSalud],F327,tb_medicamentos[vrServicio]),IF(COUNTIF(tb_otrosservicios[codTecnologiaSalud],F327)&gt;0,SUMIF(tb_otrosservicios[codTecnologiaSalud],F327,tb_otrosservicios[vrServicio]),)))),"")</f>
        <v/>
      </c>
      <c r="N327" s="34"/>
    </row>
    <row r="328" spans="6:14" x14ac:dyDescent="0.25">
      <c r="F328" s="30"/>
      <c r="G328" s="31"/>
      <c r="H328" s="38"/>
      <c r="I328" s="32"/>
      <c r="J328" s="32"/>
      <c r="K328" s="26"/>
      <c r="L328" s="11" t="str">
        <f>IF(F328&lt;&gt;"",IF(COUNTIF(tb_consultas[codConsulta],F328)&gt;0,COUNTIF(tb_consultas[codConsulta],F328),IF(COUNTIF(tb_procedimientos[codProcedimiento],F328),COUNTIF(tb_procedimientos[codProcedimiento],F328),IF(COUNTIF(tb_medicamentos[codTecnologiaSalud],F328)&gt;0,SUMIF(tb_medicamentos[codTecnologiaSalud],F328,tb_medicamentos[cantidadMedicamento]),IF(COUNTIF(tb_otrosservicios[codTecnologiaSalud],F328)&gt;0,SUMIF(tb_otrosservicios[codTecnologiaSalud],F328,tb_otrosservicios[cantidadOS]),)))),"")</f>
        <v/>
      </c>
      <c r="M328" s="26" t="str">
        <f>IF(F328&lt;&gt;"",IF(COUNTIF(tb_consultas[codConsulta],F328)&gt;0,SUMIF(tb_consultas[codConsulta],F328,tb_consultas[vrServicio]),IF(COUNTIF(tb_procedimientos[codProcedimiento],F328),SUMIF(tb_procedimientos[codProcedimiento],F328,tb_procedimientos[vrServicio]),IF(COUNTIF(tb_medicamentos[codTecnologiaSalud],F328)&gt;0,SUMIF(tb_medicamentos[codTecnologiaSalud],F328,tb_medicamentos[vrServicio]),IF(COUNTIF(tb_otrosservicios[codTecnologiaSalud],F328)&gt;0,SUMIF(tb_otrosservicios[codTecnologiaSalud],F328,tb_otrosservicios[vrServicio]),)))),"")</f>
        <v/>
      </c>
      <c r="N328" s="34"/>
    </row>
    <row r="329" spans="6:14" x14ac:dyDescent="0.25">
      <c r="F329" s="30"/>
      <c r="G329" s="31"/>
      <c r="H329" s="38"/>
      <c r="I329" s="32"/>
      <c r="J329" s="32"/>
      <c r="K329" s="26"/>
      <c r="L329" s="11" t="str">
        <f>IF(F329&lt;&gt;"",IF(COUNTIF(tb_consultas[codConsulta],F329)&gt;0,COUNTIF(tb_consultas[codConsulta],F329),IF(COUNTIF(tb_procedimientos[codProcedimiento],F329),COUNTIF(tb_procedimientos[codProcedimiento],F329),IF(COUNTIF(tb_medicamentos[codTecnologiaSalud],F329)&gt;0,SUMIF(tb_medicamentos[codTecnologiaSalud],F329,tb_medicamentos[cantidadMedicamento]),IF(COUNTIF(tb_otrosservicios[codTecnologiaSalud],F329)&gt;0,SUMIF(tb_otrosservicios[codTecnologiaSalud],F329,tb_otrosservicios[cantidadOS]),)))),"")</f>
        <v/>
      </c>
      <c r="M329" s="26" t="str">
        <f>IF(F329&lt;&gt;"",IF(COUNTIF(tb_consultas[codConsulta],F329)&gt;0,SUMIF(tb_consultas[codConsulta],F329,tb_consultas[vrServicio]),IF(COUNTIF(tb_procedimientos[codProcedimiento],F329),SUMIF(tb_procedimientos[codProcedimiento],F329,tb_procedimientos[vrServicio]),IF(COUNTIF(tb_medicamentos[codTecnologiaSalud],F329)&gt;0,SUMIF(tb_medicamentos[codTecnologiaSalud],F329,tb_medicamentos[vrServicio]),IF(COUNTIF(tb_otrosservicios[codTecnologiaSalud],F329)&gt;0,SUMIF(tb_otrosservicios[codTecnologiaSalud],F329,tb_otrosservicios[vrServicio]),)))),"")</f>
        <v/>
      </c>
      <c r="N329" s="34"/>
    </row>
    <row r="330" spans="6:14" x14ac:dyDescent="0.25">
      <c r="F330" s="30"/>
      <c r="G330" s="31"/>
      <c r="H330" s="38"/>
      <c r="I330" s="32"/>
      <c r="J330" s="32"/>
      <c r="K330" s="26"/>
      <c r="L330" s="11" t="str">
        <f>IF(F330&lt;&gt;"",IF(COUNTIF(tb_consultas[codConsulta],F330)&gt;0,COUNTIF(tb_consultas[codConsulta],F330),IF(COUNTIF(tb_procedimientos[codProcedimiento],F330),COUNTIF(tb_procedimientos[codProcedimiento],F330),IF(COUNTIF(tb_medicamentos[codTecnologiaSalud],F330)&gt;0,SUMIF(tb_medicamentos[codTecnologiaSalud],F330,tb_medicamentos[cantidadMedicamento]),IF(COUNTIF(tb_otrosservicios[codTecnologiaSalud],F330)&gt;0,SUMIF(tb_otrosservicios[codTecnologiaSalud],F330,tb_otrosservicios[cantidadOS]),)))),"")</f>
        <v/>
      </c>
      <c r="M330" s="26" t="str">
        <f>IF(F330&lt;&gt;"",IF(COUNTIF(tb_consultas[codConsulta],F330)&gt;0,SUMIF(tb_consultas[codConsulta],F330,tb_consultas[vrServicio]),IF(COUNTIF(tb_procedimientos[codProcedimiento],F330),SUMIF(tb_procedimientos[codProcedimiento],F330,tb_procedimientos[vrServicio]),IF(COUNTIF(tb_medicamentos[codTecnologiaSalud],F330)&gt;0,SUMIF(tb_medicamentos[codTecnologiaSalud],F330,tb_medicamentos[vrServicio]),IF(COUNTIF(tb_otrosservicios[codTecnologiaSalud],F330)&gt;0,SUMIF(tb_otrosservicios[codTecnologiaSalud],F330,tb_otrosservicios[vrServicio]),)))),"")</f>
        <v/>
      </c>
      <c r="N330" s="34"/>
    </row>
    <row r="331" spans="6:14" x14ac:dyDescent="0.25">
      <c r="F331" s="30"/>
      <c r="G331" s="31"/>
      <c r="H331" s="38"/>
      <c r="I331" s="32"/>
      <c r="J331" s="32"/>
      <c r="K331" s="26"/>
      <c r="L331" s="11" t="str">
        <f>IF(F331&lt;&gt;"",IF(COUNTIF(tb_consultas[codConsulta],F331)&gt;0,COUNTIF(tb_consultas[codConsulta],F331),IF(COUNTIF(tb_procedimientos[codProcedimiento],F331),COUNTIF(tb_procedimientos[codProcedimiento],F331),IF(COUNTIF(tb_medicamentos[codTecnologiaSalud],F331)&gt;0,SUMIF(tb_medicamentos[codTecnologiaSalud],F331,tb_medicamentos[cantidadMedicamento]),IF(COUNTIF(tb_otrosservicios[codTecnologiaSalud],F331)&gt;0,SUMIF(tb_otrosservicios[codTecnologiaSalud],F331,tb_otrosservicios[cantidadOS]),)))),"")</f>
        <v/>
      </c>
      <c r="M331" s="26" t="str">
        <f>IF(F331&lt;&gt;"",IF(COUNTIF(tb_consultas[codConsulta],F331)&gt;0,SUMIF(tb_consultas[codConsulta],F331,tb_consultas[vrServicio]),IF(COUNTIF(tb_procedimientos[codProcedimiento],F331),SUMIF(tb_procedimientos[codProcedimiento],F331,tb_procedimientos[vrServicio]),IF(COUNTIF(tb_medicamentos[codTecnologiaSalud],F331)&gt;0,SUMIF(tb_medicamentos[codTecnologiaSalud],F331,tb_medicamentos[vrServicio]),IF(COUNTIF(tb_otrosservicios[codTecnologiaSalud],F331)&gt;0,SUMIF(tb_otrosservicios[codTecnologiaSalud],F331,tb_otrosservicios[vrServicio]),)))),"")</f>
        <v/>
      </c>
      <c r="N331" s="34"/>
    </row>
    <row r="332" spans="6:14" x14ac:dyDescent="0.25">
      <c r="F332" s="30"/>
      <c r="G332" s="31"/>
      <c r="H332" s="38"/>
      <c r="I332" s="32"/>
      <c r="J332" s="32"/>
      <c r="K332" s="26"/>
      <c r="L332" s="11" t="str">
        <f>IF(F332&lt;&gt;"",IF(COUNTIF(tb_consultas[codConsulta],F332)&gt;0,COUNTIF(tb_consultas[codConsulta],F332),IF(COUNTIF(tb_procedimientos[codProcedimiento],F332),COUNTIF(tb_procedimientos[codProcedimiento],F332),IF(COUNTIF(tb_medicamentos[codTecnologiaSalud],F332)&gt;0,SUMIF(tb_medicamentos[codTecnologiaSalud],F332,tb_medicamentos[cantidadMedicamento]),IF(COUNTIF(tb_otrosservicios[codTecnologiaSalud],F332)&gt;0,SUMIF(tb_otrosservicios[codTecnologiaSalud],F332,tb_otrosservicios[cantidadOS]),)))),"")</f>
        <v/>
      </c>
      <c r="M332" s="26" t="str">
        <f>IF(F332&lt;&gt;"",IF(COUNTIF(tb_consultas[codConsulta],F332)&gt;0,SUMIF(tb_consultas[codConsulta],F332,tb_consultas[vrServicio]),IF(COUNTIF(tb_procedimientos[codProcedimiento],F332),SUMIF(tb_procedimientos[codProcedimiento],F332,tb_procedimientos[vrServicio]),IF(COUNTIF(tb_medicamentos[codTecnologiaSalud],F332)&gt;0,SUMIF(tb_medicamentos[codTecnologiaSalud],F332,tb_medicamentos[vrServicio]),IF(COUNTIF(tb_otrosservicios[codTecnologiaSalud],F332)&gt;0,SUMIF(tb_otrosservicios[codTecnologiaSalud],F332,tb_otrosservicios[vrServicio]),)))),"")</f>
        <v/>
      </c>
      <c r="N332" s="34"/>
    </row>
    <row r="333" spans="6:14" x14ac:dyDescent="0.25">
      <c r="F333" s="30"/>
      <c r="G333" s="31"/>
      <c r="H333" s="38"/>
      <c r="I333" s="32"/>
      <c r="J333" s="32"/>
      <c r="K333" s="26"/>
      <c r="L333" s="11" t="str">
        <f>IF(F333&lt;&gt;"",IF(COUNTIF(tb_consultas[codConsulta],F333)&gt;0,COUNTIF(tb_consultas[codConsulta],F333),IF(COUNTIF(tb_procedimientos[codProcedimiento],F333),COUNTIF(tb_procedimientos[codProcedimiento],F333),IF(COUNTIF(tb_medicamentos[codTecnologiaSalud],F333)&gt;0,SUMIF(tb_medicamentos[codTecnologiaSalud],F333,tb_medicamentos[cantidadMedicamento]),IF(COUNTIF(tb_otrosservicios[codTecnologiaSalud],F333)&gt;0,SUMIF(tb_otrosservicios[codTecnologiaSalud],F333,tb_otrosservicios[cantidadOS]),)))),"")</f>
        <v/>
      </c>
      <c r="M333" s="26" t="str">
        <f>IF(F333&lt;&gt;"",IF(COUNTIF(tb_consultas[codConsulta],F333)&gt;0,SUMIF(tb_consultas[codConsulta],F333,tb_consultas[vrServicio]),IF(COUNTIF(tb_procedimientos[codProcedimiento],F333),SUMIF(tb_procedimientos[codProcedimiento],F333,tb_procedimientos[vrServicio]),IF(COUNTIF(tb_medicamentos[codTecnologiaSalud],F333)&gt;0,SUMIF(tb_medicamentos[codTecnologiaSalud],F333,tb_medicamentos[vrServicio]),IF(COUNTIF(tb_otrosservicios[codTecnologiaSalud],F333)&gt;0,SUMIF(tb_otrosservicios[codTecnologiaSalud],F333,tb_otrosservicios[vrServicio]),)))),"")</f>
        <v/>
      </c>
      <c r="N333" s="34"/>
    </row>
    <row r="334" spans="6:14" x14ac:dyDescent="0.25">
      <c r="F334" s="30"/>
      <c r="G334" s="31"/>
      <c r="H334" s="38"/>
      <c r="I334" s="32"/>
      <c r="J334" s="32"/>
      <c r="K334" s="26"/>
      <c r="L334" s="11" t="str">
        <f>IF(F334&lt;&gt;"",IF(COUNTIF(tb_consultas[codConsulta],F334)&gt;0,COUNTIF(tb_consultas[codConsulta],F334),IF(COUNTIF(tb_procedimientos[codProcedimiento],F334),COUNTIF(tb_procedimientos[codProcedimiento],F334),IF(COUNTIF(tb_medicamentos[codTecnologiaSalud],F334)&gt;0,SUMIF(tb_medicamentos[codTecnologiaSalud],F334,tb_medicamentos[cantidadMedicamento]),IF(COUNTIF(tb_otrosservicios[codTecnologiaSalud],F334)&gt;0,SUMIF(tb_otrosservicios[codTecnologiaSalud],F334,tb_otrosservicios[cantidadOS]),)))),"")</f>
        <v/>
      </c>
      <c r="M334" s="26" t="str">
        <f>IF(F334&lt;&gt;"",IF(COUNTIF(tb_consultas[codConsulta],F334)&gt;0,SUMIF(tb_consultas[codConsulta],F334,tb_consultas[vrServicio]),IF(COUNTIF(tb_procedimientos[codProcedimiento],F334),SUMIF(tb_procedimientos[codProcedimiento],F334,tb_procedimientos[vrServicio]),IF(COUNTIF(tb_medicamentos[codTecnologiaSalud],F334)&gt;0,SUMIF(tb_medicamentos[codTecnologiaSalud],F334,tb_medicamentos[vrServicio]),IF(COUNTIF(tb_otrosservicios[codTecnologiaSalud],F334)&gt;0,SUMIF(tb_otrosservicios[codTecnologiaSalud],F334,tb_otrosservicios[vrServicio]),)))),"")</f>
        <v/>
      </c>
      <c r="N334" s="34"/>
    </row>
    <row r="335" spans="6:14" x14ac:dyDescent="0.25">
      <c r="F335" s="30"/>
      <c r="G335" s="31"/>
      <c r="H335" s="38"/>
      <c r="I335" s="32"/>
      <c r="J335" s="32"/>
      <c r="K335" s="26"/>
      <c r="L335" s="11" t="str">
        <f>IF(F335&lt;&gt;"",IF(COUNTIF(tb_consultas[codConsulta],F335)&gt;0,COUNTIF(tb_consultas[codConsulta],F335),IF(COUNTIF(tb_procedimientos[codProcedimiento],F335),COUNTIF(tb_procedimientos[codProcedimiento],F335),IF(COUNTIF(tb_medicamentos[codTecnologiaSalud],F335)&gt;0,SUMIF(tb_medicamentos[codTecnologiaSalud],F335,tb_medicamentos[cantidadMedicamento]),IF(COUNTIF(tb_otrosservicios[codTecnologiaSalud],F335)&gt;0,SUMIF(tb_otrosservicios[codTecnologiaSalud],F335,tb_otrosservicios[cantidadOS]),)))),"")</f>
        <v/>
      </c>
      <c r="M335" s="26" t="str">
        <f>IF(F335&lt;&gt;"",IF(COUNTIF(tb_consultas[codConsulta],F335)&gt;0,SUMIF(tb_consultas[codConsulta],F335,tb_consultas[vrServicio]),IF(COUNTIF(tb_procedimientos[codProcedimiento],F335),SUMIF(tb_procedimientos[codProcedimiento],F335,tb_procedimientos[vrServicio]),IF(COUNTIF(tb_medicamentos[codTecnologiaSalud],F335)&gt;0,SUMIF(tb_medicamentos[codTecnologiaSalud],F335,tb_medicamentos[vrServicio]),IF(COUNTIF(tb_otrosservicios[codTecnologiaSalud],F335)&gt;0,SUMIF(tb_otrosservicios[codTecnologiaSalud],F335,tb_otrosservicios[vrServicio]),)))),"")</f>
        <v/>
      </c>
      <c r="N335" s="34"/>
    </row>
    <row r="336" spans="6:14" x14ac:dyDescent="0.25">
      <c r="F336" s="30"/>
      <c r="G336" s="31"/>
      <c r="H336" s="38"/>
      <c r="I336" s="32"/>
      <c r="J336" s="32"/>
      <c r="K336" s="26"/>
      <c r="L336" s="11"/>
      <c r="M336" s="26" t="str">
        <f>IF(F336&lt;&gt;"",IF(COUNTIF(tb_consultas[codConsulta],F336)&gt;0,SUMIF(tb_consultas[codConsulta],F336,tb_consultas[vrServicio]),IF(COUNTIF(tb_procedimientos[codProcedimiento],F336),SUMIF(tb_procedimientos[codProcedimiento],F336,tb_procedimientos[vrServicio]),IF(COUNTIF(tb_medicamentos[codTecnologiaSalud],F336)&gt;0,SUMIF(tb_medicamentos[codTecnologiaSalud],F336,tb_medicamentos[vrServicio]),IF(COUNTIF(tb_otrosservicios[codTecnologiaSalud],F336)&gt;0,SUMIF(tb_otrosservicios[codTecnologiaSalud],F336,tb_otrosservicios[vrServicio]),)))),"")</f>
        <v/>
      </c>
      <c r="N336" s="34"/>
    </row>
    <row r="337" spans="6:14" x14ac:dyDescent="0.25">
      <c r="F337" s="30"/>
      <c r="G337" s="31"/>
      <c r="H337" s="38"/>
      <c r="I337" s="32"/>
      <c r="J337" s="32"/>
      <c r="K337" s="26"/>
      <c r="L337" s="11"/>
      <c r="M337" s="26" t="str">
        <f>IF(F337&lt;&gt;"",IF(COUNTIF(tb_consultas[codConsulta],F337)&gt;0,SUMIF(tb_consultas[codConsulta],F337,tb_consultas[vrServicio]),IF(COUNTIF(tb_procedimientos[codProcedimiento],F337),SUMIF(tb_procedimientos[codProcedimiento],F337,tb_procedimientos[vrServicio]),IF(COUNTIF(tb_medicamentos[codTecnologiaSalud],F337)&gt;0,SUMIF(tb_medicamentos[codTecnologiaSalud],F337,tb_medicamentos[vrServicio]),IF(COUNTIF(tb_otrosservicios[codTecnologiaSalud],F337)&gt;0,SUMIF(tb_otrosservicios[codTecnologiaSalud],F337,tb_otrosservicios[vrServicio]),)))),"")</f>
        <v/>
      </c>
      <c r="N337" s="34"/>
    </row>
    <row r="338" spans="6:14" x14ac:dyDescent="0.25">
      <c r="F338" s="30"/>
      <c r="G338" s="31"/>
      <c r="H338" s="38"/>
      <c r="I338" s="32"/>
      <c r="J338" s="32"/>
      <c r="K338" s="26"/>
      <c r="L338" s="11"/>
      <c r="M338" s="26" t="str">
        <f>IF(F338&lt;&gt;"",IF(COUNTIF(tb_consultas[codConsulta],F338)&gt;0,SUMIF(tb_consultas[codConsulta],F338,tb_consultas[vrServicio]),IF(COUNTIF(tb_procedimientos[codProcedimiento],F338),SUMIF(tb_procedimientos[codProcedimiento],F338,tb_procedimientos[vrServicio]),IF(COUNTIF(tb_medicamentos[codTecnologiaSalud],F338)&gt;0,SUMIF(tb_medicamentos[codTecnologiaSalud],F338,tb_medicamentos[vrServicio]),IF(COUNTIF(tb_otrosservicios[codTecnologiaSalud],F338)&gt;0,SUMIF(tb_otrosservicios[codTecnologiaSalud],F338,tb_otrosservicios[vrServicio]),)))),"")</f>
        <v/>
      </c>
      <c r="N338" s="34"/>
    </row>
    <row r="339" spans="6:14" x14ac:dyDescent="0.25">
      <c r="F339" s="30"/>
      <c r="G339" s="31"/>
      <c r="H339" s="38"/>
      <c r="I339" s="32"/>
      <c r="J339" s="32"/>
      <c r="K339" s="26"/>
      <c r="L339" s="11"/>
      <c r="M339" s="26" t="str">
        <f>IF(F339&lt;&gt;"",IF(COUNTIF(tb_consultas[codConsulta],F339)&gt;0,SUMIF(tb_consultas[codConsulta],F339,tb_consultas[vrServicio]),IF(COUNTIF(tb_procedimientos[codProcedimiento],F339),SUMIF(tb_procedimientos[codProcedimiento],F339,tb_procedimientos[vrServicio]),IF(COUNTIF(tb_medicamentos[codTecnologiaSalud],F339)&gt;0,SUMIF(tb_medicamentos[codTecnologiaSalud],F339,tb_medicamentos[vrServicio]),IF(COUNTIF(tb_otrosservicios[codTecnologiaSalud],F339)&gt;0,SUMIF(tb_otrosservicios[codTecnologiaSalud],F339,tb_otrosservicios[vrServicio]),)))),"")</f>
        <v/>
      </c>
      <c r="N339" s="34"/>
    </row>
    <row r="340" spans="6:14" x14ac:dyDescent="0.25">
      <c r="F340" s="30"/>
      <c r="G340" s="31"/>
      <c r="H340" s="38"/>
      <c r="I340" s="32"/>
      <c r="J340" s="32"/>
      <c r="K340" s="26"/>
      <c r="L340" s="11"/>
      <c r="M340" s="26" t="str">
        <f>IF(F340&lt;&gt;"",IF(COUNTIF(tb_consultas[codConsulta],F340)&gt;0,SUMIF(tb_consultas[codConsulta],F340,tb_consultas[vrServicio]),IF(COUNTIF(tb_procedimientos[codProcedimiento],F340),SUMIF(tb_procedimientos[codProcedimiento],F340,tb_procedimientos[vrServicio]),IF(COUNTIF(tb_medicamentos[codTecnologiaSalud],F340)&gt;0,SUMIF(tb_medicamentos[codTecnologiaSalud],F340,tb_medicamentos[vrServicio]),IF(COUNTIF(tb_otrosservicios[codTecnologiaSalud],F340)&gt;0,SUMIF(tb_otrosservicios[codTecnologiaSalud],F340,tb_otrosservicios[vrServicio]),)))),"")</f>
        <v/>
      </c>
      <c r="N340" s="34"/>
    </row>
    <row r="341" spans="6:14" x14ac:dyDescent="0.25">
      <c r="F341" s="30"/>
      <c r="G341" s="31"/>
      <c r="H341" s="38"/>
      <c r="I341" s="32"/>
      <c r="J341" s="32"/>
      <c r="K341" s="26"/>
      <c r="L341" s="11"/>
      <c r="M341" s="26" t="str">
        <f>IF(F341&lt;&gt;"",IF(COUNTIF(tb_consultas[codConsulta],F341)&gt;0,SUMIF(tb_consultas[codConsulta],F341,tb_consultas[vrServicio]),IF(COUNTIF(tb_procedimientos[codProcedimiento],F341),SUMIF(tb_procedimientos[codProcedimiento],F341,tb_procedimientos[vrServicio]),IF(COUNTIF(tb_medicamentos[codTecnologiaSalud],F341)&gt;0,SUMIF(tb_medicamentos[codTecnologiaSalud],F341,tb_medicamentos[vrServicio]),IF(COUNTIF(tb_otrosservicios[codTecnologiaSalud],F341)&gt;0,SUMIF(tb_otrosservicios[codTecnologiaSalud],F341,tb_otrosservicios[vrServicio]),)))),"")</f>
        <v/>
      </c>
      <c r="N341" s="34"/>
    </row>
    <row r="342" spans="6:14" x14ac:dyDescent="0.25">
      <c r="F342" s="30"/>
      <c r="G342" s="31"/>
      <c r="H342" s="38"/>
      <c r="I342" s="32"/>
      <c r="J342" s="32"/>
      <c r="K342" s="26"/>
      <c r="L342" s="11"/>
      <c r="M342" s="26" t="str">
        <f>IF(F342&lt;&gt;"",IF(COUNTIF(tb_consultas[codConsulta],F342)&gt;0,SUMIF(tb_consultas[codConsulta],F342,tb_consultas[vrServicio]),IF(COUNTIF(tb_procedimientos[codProcedimiento],F342),SUMIF(tb_procedimientos[codProcedimiento],F342,tb_procedimientos[vrServicio]),IF(COUNTIF(tb_medicamentos[codTecnologiaSalud],F342)&gt;0,SUMIF(tb_medicamentos[codTecnologiaSalud],F342,tb_medicamentos[vrServicio]),IF(COUNTIF(tb_otrosservicios[codTecnologiaSalud],F342)&gt;0,SUMIF(tb_otrosservicios[codTecnologiaSalud],F342,tb_otrosservicios[vrServicio]),)))),"")</f>
        <v/>
      </c>
      <c r="N342" s="34"/>
    </row>
    <row r="343" spans="6:14" x14ac:dyDescent="0.25">
      <c r="F343" s="30"/>
      <c r="G343" s="31"/>
      <c r="H343" s="38"/>
      <c r="I343" s="32"/>
      <c r="J343" s="32"/>
      <c r="K343" s="26"/>
      <c r="L343" s="11"/>
      <c r="M343" s="26" t="str">
        <f>IF(F343&lt;&gt;"",IF(COUNTIF(tb_consultas[codConsulta],F343)&gt;0,SUMIF(tb_consultas[codConsulta],F343,tb_consultas[vrServicio]),IF(COUNTIF(tb_procedimientos[codProcedimiento],F343),SUMIF(tb_procedimientos[codProcedimiento],F343,tb_procedimientos[vrServicio]),IF(COUNTIF(tb_medicamentos[codTecnologiaSalud],F343)&gt;0,SUMIF(tb_medicamentos[codTecnologiaSalud],F343,tb_medicamentos[vrServicio]),IF(COUNTIF(tb_otrosservicios[codTecnologiaSalud],F343)&gt;0,SUMIF(tb_otrosservicios[codTecnologiaSalud],F343,tb_otrosservicios[vrServicio]),)))),"")</f>
        <v/>
      </c>
      <c r="N343" s="34"/>
    </row>
    <row r="344" spans="6:14" x14ac:dyDescent="0.25">
      <c r="F344" s="30"/>
      <c r="G344" s="31"/>
      <c r="H344" s="38"/>
      <c r="I344" s="32"/>
      <c r="J344" s="32"/>
      <c r="K344" s="26"/>
      <c r="L344" s="11"/>
      <c r="M344" s="26" t="str">
        <f>IF(F344&lt;&gt;"",IF(COUNTIF(tb_consultas[codConsulta],F344)&gt;0,SUMIF(tb_consultas[codConsulta],F344,tb_consultas[vrServicio]),IF(COUNTIF(tb_procedimientos[codProcedimiento],F344),SUMIF(tb_procedimientos[codProcedimiento],F344,tb_procedimientos[vrServicio]),IF(COUNTIF(tb_medicamentos[codTecnologiaSalud],F344)&gt;0,SUMIF(tb_medicamentos[codTecnologiaSalud],F344,tb_medicamentos[vrServicio]),IF(COUNTIF(tb_otrosservicios[codTecnologiaSalud],F344)&gt;0,SUMIF(tb_otrosservicios[codTecnologiaSalud],F344,tb_otrosservicios[vrServicio]),)))),"")</f>
        <v/>
      </c>
      <c r="N344" s="29"/>
    </row>
    <row r="345" spans="6:14" x14ac:dyDescent="0.25">
      <c r="F345" s="30"/>
      <c r="G345" s="31"/>
      <c r="H345" s="38"/>
      <c r="I345" s="32"/>
      <c r="J345" s="32"/>
      <c r="L345" s="11"/>
      <c r="M345" s="26" t="str">
        <f>IF(F345&lt;&gt;"",IF(COUNTIF(tb_consultas[codConsulta],F345)&gt;0,SUMIF(tb_consultas[codConsulta],F345,tb_consultas[vrServicio]),IF(COUNTIF(tb_procedimientos[codProcedimiento],F345),SUMIF(tb_procedimientos[codProcedimiento],F345,tb_procedimientos[vrServicio]),IF(COUNTIF(tb_medicamentos[codTecnologiaSalud],F345)&gt;0,SUMIF(tb_medicamentos[codTecnologiaSalud],F345,tb_medicamentos[vrServicio]),IF(COUNTIF(tb_otrosservicios[codTecnologiaSalud],F345)&gt;0,SUMIF(tb_otrosservicios[codTecnologiaSalud],F345,tb_otrosservicios[vrServicio]),)))),"")</f>
        <v/>
      </c>
      <c r="N345" s="29"/>
    </row>
    <row r="346" spans="6:14" x14ac:dyDescent="0.25">
      <c r="F346" s="30"/>
      <c r="G346" s="31"/>
      <c r="H346" s="38"/>
      <c r="I346" s="32"/>
      <c r="J346" s="32"/>
      <c r="L346" s="11"/>
      <c r="M346" s="26" t="str">
        <f>IF(F346&lt;&gt;"",IF(COUNTIF(tb_consultas[codConsulta],F346)&gt;0,SUMIF(tb_consultas[codConsulta],F346,tb_consultas[vrServicio]),IF(COUNTIF(tb_procedimientos[codProcedimiento],F346),SUMIF(tb_procedimientos[codProcedimiento],F346,tb_procedimientos[vrServicio]),IF(COUNTIF(tb_medicamentos[codTecnologiaSalud],F346)&gt;0,SUMIF(tb_medicamentos[codTecnologiaSalud],F346,tb_medicamentos[vrServicio]),IF(COUNTIF(tb_otrosservicios[codTecnologiaSalud],F346)&gt;0,SUMIF(tb_otrosservicios[codTecnologiaSalud],F346,tb_otrosservicios[vrServicio]),)))),"")</f>
        <v/>
      </c>
    </row>
    <row r="347" spans="6:14" x14ac:dyDescent="0.25">
      <c r="F347" s="30"/>
      <c r="G347" s="31"/>
      <c r="H347" s="38"/>
      <c r="I347" s="32"/>
      <c r="J347" s="32"/>
      <c r="L347" s="11"/>
      <c r="M347" s="26" t="str">
        <f>IF(F347&lt;&gt;"",IF(COUNTIF(tb_consultas[codConsulta],F347)&gt;0,SUMIF(tb_consultas[codConsulta],F347,tb_consultas[vrServicio]),IF(COUNTIF(tb_procedimientos[codProcedimiento],F347),SUMIF(tb_procedimientos[codProcedimiento],F347,tb_procedimientos[vrServicio]),IF(COUNTIF(tb_medicamentos[codTecnologiaSalud],F347)&gt;0,SUMIF(tb_medicamentos[codTecnologiaSalud],F347,tb_medicamentos[vrServicio]),IF(COUNTIF(tb_otrosservicios[codTecnologiaSalud],F347)&gt;0,SUMIF(tb_otrosservicios[codTecnologiaSalud],F347,tb_otrosservicios[vrServicio]),)))),"")</f>
        <v/>
      </c>
    </row>
    <row r="348" spans="6:14" x14ac:dyDescent="0.25">
      <c r="F348" s="30"/>
      <c r="G348" s="31"/>
      <c r="H348" s="38"/>
      <c r="I348" s="32"/>
      <c r="J348" s="32"/>
      <c r="L348" s="11"/>
      <c r="M348" s="26"/>
    </row>
    <row r="349" spans="6:14" x14ac:dyDescent="0.25">
      <c r="F349" s="30"/>
      <c r="G349" s="31"/>
      <c r="H349" s="38"/>
      <c r="I349" s="32"/>
      <c r="J349" s="32"/>
      <c r="L349" s="11"/>
      <c r="M349" s="26"/>
    </row>
    <row r="350" spans="6:14" x14ac:dyDescent="0.25">
      <c r="F350" s="30"/>
      <c r="G350" s="31"/>
      <c r="H350" s="38"/>
      <c r="I350" s="32"/>
      <c r="J350" s="32"/>
      <c r="L350" s="11"/>
      <c r="M350" s="26"/>
    </row>
    <row r="351" spans="6:14" x14ac:dyDescent="0.25">
      <c r="F351" s="33"/>
      <c r="G351" s="33"/>
      <c r="H351" s="33"/>
      <c r="I351" s="33"/>
      <c r="J351" s="33"/>
      <c r="L351" s="11"/>
      <c r="M351" s="26"/>
    </row>
    <row r="352" spans="6:14" x14ac:dyDescent="0.25">
      <c r="F352" s="33"/>
      <c r="G352" s="33"/>
      <c r="H352" s="33"/>
      <c r="I352" s="33"/>
      <c r="J352" s="33"/>
      <c r="L352" s="11"/>
      <c r="M352" s="26"/>
    </row>
    <row r="353" spans="6:13" x14ac:dyDescent="0.25">
      <c r="F353" s="33"/>
      <c r="G353" s="33"/>
      <c r="H353" s="33"/>
      <c r="I353" s="33"/>
      <c r="J353" s="33"/>
      <c r="L353" s="11"/>
      <c r="M353" s="26"/>
    </row>
    <row r="354" spans="6:13" x14ac:dyDescent="0.25">
      <c r="F354" s="33"/>
      <c r="G354" s="33"/>
      <c r="H354" s="33"/>
      <c r="I354" s="33"/>
      <c r="J354" s="33"/>
      <c r="L354" s="11"/>
      <c r="M354" s="26"/>
    </row>
    <row r="355" spans="6:13" x14ac:dyDescent="0.25">
      <c r="F355" s="33"/>
      <c r="G355" s="33"/>
      <c r="H355" s="33"/>
      <c r="I355" s="33"/>
      <c r="J355" s="33"/>
    </row>
    <row r="356" spans="6:13" x14ac:dyDescent="0.25">
      <c r="F356" s="33"/>
      <c r="G356" s="33"/>
      <c r="H356" s="33"/>
      <c r="I356" s="33"/>
      <c r="J356" s="33"/>
    </row>
    <row r="357" spans="6:13" x14ac:dyDescent="0.25">
      <c r="F357" s="33"/>
      <c r="G357" s="33"/>
      <c r="H357" s="33"/>
      <c r="I357" s="33"/>
      <c r="J357" s="33"/>
    </row>
    <row r="358" spans="6:13" x14ac:dyDescent="0.25">
      <c r="F358" s="33"/>
      <c r="G358" s="33"/>
      <c r="H358" s="33"/>
      <c r="I358" s="33"/>
      <c r="J358" s="33"/>
    </row>
    <row r="359" spans="6:13" x14ac:dyDescent="0.25">
      <c r="F359" s="33"/>
      <c r="G359" s="33"/>
      <c r="H359" s="33"/>
      <c r="I359" s="33"/>
      <c r="J359" s="33"/>
    </row>
    <row r="360" spans="6:13" x14ac:dyDescent="0.25">
      <c r="F360" s="33"/>
      <c r="G360" s="33"/>
      <c r="H360" s="33"/>
      <c r="I360" s="33"/>
      <c r="J360" s="33"/>
    </row>
    <row r="361" spans="6:13" x14ac:dyDescent="0.25">
      <c r="F361" s="33"/>
      <c r="G361" s="33"/>
      <c r="H361" s="33"/>
      <c r="I361" s="33"/>
      <c r="J361" s="33"/>
    </row>
    <row r="362" spans="6:13" x14ac:dyDescent="0.25">
      <c r="F362" s="33"/>
      <c r="G362" s="33"/>
      <c r="H362" s="33"/>
      <c r="I362" s="33"/>
      <c r="J362" s="33"/>
    </row>
    <row r="363" spans="6:13" x14ac:dyDescent="0.25">
      <c r="F363" s="33"/>
      <c r="G363" s="33"/>
      <c r="H363" s="33"/>
      <c r="I363" s="33"/>
      <c r="J363" s="33"/>
    </row>
    <row r="364" spans="6:13" x14ac:dyDescent="0.25">
      <c r="F364" s="33"/>
      <c r="G364" s="33"/>
      <c r="H364" s="33"/>
      <c r="I364" s="33"/>
      <c r="J364" s="33"/>
    </row>
    <row r="365" spans="6:13" x14ac:dyDescent="0.25">
      <c r="F365" s="33"/>
      <c r="G365" s="33"/>
      <c r="H365" s="33"/>
      <c r="I365" s="33"/>
      <c r="J365" s="33"/>
    </row>
    <row r="366" spans="6:13" x14ac:dyDescent="0.25">
      <c r="F366" s="33"/>
      <c r="G366" s="33"/>
      <c r="H366" s="33"/>
      <c r="I366" s="33"/>
      <c r="J366" s="33"/>
    </row>
    <row r="367" spans="6:13" x14ac:dyDescent="0.25">
      <c r="F367" s="33"/>
      <c r="G367" s="33"/>
      <c r="H367" s="33"/>
      <c r="I367" s="33"/>
      <c r="J367" s="33"/>
    </row>
    <row r="368" spans="6:13" x14ac:dyDescent="0.25">
      <c r="F368" s="33"/>
      <c r="G368" s="33"/>
      <c r="H368" s="33"/>
      <c r="I368" s="33"/>
      <c r="J368" s="33"/>
    </row>
    <row r="369" spans="6:10" x14ac:dyDescent="0.25">
      <c r="F369" s="33"/>
      <c r="G369" s="33"/>
      <c r="H369" s="33"/>
      <c r="I369" s="33"/>
      <c r="J369" s="33"/>
    </row>
    <row r="370" spans="6:10" x14ac:dyDescent="0.25">
      <c r="F370" s="33"/>
      <c r="G370" s="33"/>
      <c r="H370" s="33"/>
      <c r="I370" s="33"/>
      <c r="J370" s="33"/>
    </row>
    <row r="371" spans="6:10" x14ac:dyDescent="0.25">
      <c r="F371" s="33"/>
      <c r="G371" s="33"/>
      <c r="H371" s="33"/>
      <c r="I371" s="33"/>
      <c r="J371" s="33"/>
    </row>
    <row r="372" spans="6:10" x14ac:dyDescent="0.25">
      <c r="F372" s="33"/>
      <c r="G372" s="33"/>
      <c r="H372" s="33"/>
      <c r="I372" s="33"/>
      <c r="J372" s="33"/>
    </row>
    <row r="373" spans="6:10" x14ac:dyDescent="0.25">
      <c r="F373" s="33"/>
      <c r="G373" s="33"/>
      <c r="H373" s="33"/>
      <c r="I373" s="33"/>
      <c r="J373" s="33"/>
    </row>
    <row r="374" spans="6:10" x14ac:dyDescent="0.25">
      <c r="F374" s="33"/>
      <c r="G374" s="33"/>
      <c r="H374" s="33"/>
      <c r="I374" s="33"/>
      <c r="J374" s="33"/>
    </row>
    <row r="375" spans="6:10" x14ac:dyDescent="0.25">
      <c r="F375" s="33"/>
      <c r="G375" s="33"/>
      <c r="H375" s="33"/>
      <c r="I375" s="33"/>
      <c r="J375" s="33"/>
    </row>
    <row r="376" spans="6:10" x14ac:dyDescent="0.25">
      <c r="F376" s="33"/>
      <c r="G376" s="33"/>
      <c r="H376" s="33"/>
      <c r="I376" s="33"/>
      <c r="J376" s="33"/>
    </row>
    <row r="377" spans="6:10" x14ac:dyDescent="0.25">
      <c r="F377" s="33"/>
      <c r="G377" s="33"/>
      <c r="H377" s="33"/>
      <c r="I377" s="33"/>
      <c r="J377" s="33"/>
    </row>
    <row r="378" spans="6:10" x14ac:dyDescent="0.25">
      <c r="F378" s="33"/>
      <c r="G378" s="33"/>
      <c r="H378" s="33"/>
      <c r="I378" s="33"/>
      <c r="J378" s="33"/>
    </row>
    <row r="379" spans="6:10" x14ac:dyDescent="0.25">
      <c r="F379" s="33"/>
      <c r="G379" s="33"/>
      <c r="H379" s="33"/>
      <c r="I379" s="33"/>
      <c r="J379" s="33"/>
    </row>
    <row r="380" spans="6:10" x14ac:dyDescent="0.25">
      <c r="F380" s="33"/>
      <c r="G380" s="33"/>
      <c r="H380" s="33"/>
      <c r="I380" s="33"/>
      <c r="J380" s="33"/>
    </row>
    <row r="381" spans="6:10" x14ac:dyDescent="0.25">
      <c r="F381" s="33"/>
      <c r="G381" s="33"/>
      <c r="H381" s="33"/>
      <c r="I381" s="33"/>
      <c r="J381" s="33"/>
    </row>
    <row r="382" spans="6:10" x14ac:dyDescent="0.25">
      <c r="F382" s="33"/>
      <c r="G382" s="33"/>
      <c r="H382" s="33"/>
      <c r="I382" s="33"/>
      <c r="J382" s="33"/>
    </row>
    <row r="383" spans="6:10" x14ac:dyDescent="0.25">
      <c r="F383" s="33"/>
      <c r="G383" s="33"/>
      <c r="H383" s="33"/>
      <c r="I383" s="33"/>
      <c r="J383" s="33"/>
    </row>
    <row r="384" spans="6:10" x14ac:dyDescent="0.25">
      <c r="F384" s="33"/>
      <c r="G384" s="33"/>
      <c r="H384" s="33"/>
      <c r="I384" s="33"/>
      <c r="J384" s="33"/>
    </row>
    <row r="385" spans="6:10" x14ac:dyDescent="0.25">
      <c r="F385" s="33"/>
      <c r="G385" s="33"/>
      <c r="H385" s="33"/>
      <c r="I385" s="33"/>
      <c r="J385" s="33"/>
    </row>
    <row r="386" spans="6:10" x14ac:dyDescent="0.25">
      <c r="F386" s="33"/>
      <c r="G386" s="33"/>
      <c r="H386" s="33"/>
      <c r="I386" s="33"/>
      <c r="J386" s="33"/>
    </row>
    <row r="387" spans="6:10" x14ac:dyDescent="0.25">
      <c r="F387" s="33"/>
      <c r="G387" s="33"/>
      <c r="H387" s="33"/>
      <c r="I387" s="33"/>
      <c r="J387" s="33"/>
    </row>
    <row r="388" spans="6:10" x14ac:dyDescent="0.25">
      <c r="F388" s="33"/>
      <c r="G388" s="33"/>
      <c r="H388" s="33"/>
      <c r="I388" s="33"/>
      <c r="J388" s="33"/>
    </row>
    <row r="389" spans="6:10" x14ac:dyDescent="0.25">
      <c r="F389" s="33"/>
      <c r="G389" s="33"/>
      <c r="H389" s="33"/>
      <c r="I389" s="33"/>
      <c r="J389" s="33"/>
    </row>
    <row r="390" spans="6:10" x14ac:dyDescent="0.25">
      <c r="F390" s="33"/>
      <c r="G390" s="33"/>
      <c r="H390" s="33"/>
      <c r="I390" s="33"/>
      <c r="J390" s="33"/>
    </row>
    <row r="391" spans="6:10" x14ac:dyDescent="0.25">
      <c r="F391" s="33"/>
      <c r="G391" s="33"/>
      <c r="H391" s="33"/>
      <c r="I391" s="33"/>
      <c r="J391" s="33"/>
    </row>
    <row r="392" spans="6:10" x14ac:dyDescent="0.25">
      <c r="F392" s="33"/>
      <c r="G392" s="33"/>
      <c r="H392" s="33"/>
      <c r="I392" s="33"/>
      <c r="J392" s="33"/>
    </row>
    <row r="393" spans="6:10" x14ac:dyDescent="0.25">
      <c r="F393" s="33"/>
      <c r="G393" s="33"/>
      <c r="H393" s="33"/>
      <c r="I393" s="33"/>
      <c r="J393" s="33"/>
    </row>
    <row r="394" spans="6:10" x14ac:dyDescent="0.25">
      <c r="F394" s="33"/>
      <c r="G394" s="33"/>
      <c r="H394" s="33"/>
      <c r="I394" s="33"/>
      <c r="J394" s="33"/>
    </row>
    <row r="395" spans="6:10" x14ac:dyDescent="0.25">
      <c r="F395" s="33"/>
      <c r="G395" s="33"/>
      <c r="H395" s="33"/>
      <c r="I395" s="33"/>
      <c r="J395" s="33"/>
    </row>
    <row r="396" spans="6:10" x14ac:dyDescent="0.25">
      <c r="F396" s="33"/>
      <c r="G396" s="33"/>
      <c r="H396" s="33"/>
      <c r="I396" s="33"/>
      <c r="J396" s="33"/>
    </row>
    <row r="397" spans="6:10" x14ac:dyDescent="0.25">
      <c r="F397" s="33"/>
      <c r="G397" s="33"/>
      <c r="H397" s="33"/>
      <c r="I397" s="33"/>
      <c r="J397" s="33"/>
    </row>
    <row r="398" spans="6:10" x14ac:dyDescent="0.25">
      <c r="F398" s="33"/>
      <c r="G398" s="33"/>
      <c r="H398" s="33"/>
      <c r="I398" s="33"/>
      <c r="J398" s="33"/>
    </row>
    <row r="399" spans="6:10" x14ac:dyDescent="0.25">
      <c r="F399" s="33"/>
      <c r="G399" s="33"/>
      <c r="H399" s="33"/>
      <c r="I399" s="33"/>
      <c r="J399" s="33"/>
    </row>
    <row r="400" spans="6:10" x14ac:dyDescent="0.25">
      <c r="F400" s="33"/>
      <c r="G400" s="33"/>
      <c r="H400" s="33"/>
      <c r="I400" s="33"/>
      <c r="J400" s="33"/>
    </row>
    <row r="401" spans="6:10" x14ac:dyDescent="0.25">
      <c r="F401" s="33"/>
      <c r="G401" s="33"/>
      <c r="H401" s="33"/>
      <c r="I401" s="33"/>
      <c r="J401" s="33"/>
    </row>
    <row r="402" spans="6:10" x14ac:dyDescent="0.25">
      <c r="F402" s="33"/>
      <c r="G402" s="33"/>
      <c r="H402" s="33"/>
      <c r="I402" s="33"/>
      <c r="J402" s="33"/>
    </row>
    <row r="403" spans="6:10" x14ac:dyDescent="0.25">
      <c r="F403" s="33"/>
      <c r="G403" s="33"/>
      <c r="H403" s="33"/>
      <c r="I403" s="33"/>
      <c r="J403" s="33"/>
    </row>
    <row r="404" spans="6:10" x14ac:dyDescent="0.25">
      <c r="F404" s="33"/>
      <c r="G404" s="33"/>
      <c r="H404" s="33"/>
      <c r="I404" s="33"/>
      <c r="J404" s="33"/>
    </row>
    <row r="405" spans="6:10" x14ac:dyDescent="0.25">
      <c r="F405" s="33"/>
      <c r="G405" s="33"/>
      <c r="H405" s="33"/>
      <c r="I405" s="33"/>
      <c r="J405" s="33"/>
    </row>
    <row r="406" spans="6:10" x14ac:dyDescent="0.25">
      <c r="F406" s="33"/>
      <c r="G406" s="33"/>
      <c r="H406" s="33"/>
      <c r="I406" s="33"/>
      <c r="J406" s="33"/>
    </row>
    <row r="407" spans="6:10" x14ac:dyDescent="0.25">
      <c r="F407" s="33"/>
      <c r="G407" s="33"/>
      <c r="H407" s="33"/>
      <c r="I407" s="33"/>
      <c r="J407" s="33"/>
    </row>
    <row r="408" spans="6:10" x14ac:dyDescent="0.25">
      <c r="F408" s="33"/>
      <c r="G408" s="33"/>
      <c r="H408" s="33"/>
      <c r="I408" s="33"/>
      <c r="J408" s="33"/>
    </row>
    <row r="409" spans="6:10" x14ac:dyDescent="0.25">
      <c r="F409" s="33"/>
      <c r="G409" s="33"/>
      <c r="H409" s="33"/>
      <c r="I409" s="33"/>
      <c r="J409" s="33"/>
    </row>
    <row r="410" spans="6:10" x14ac:dyDescent="0.25">
      <c r="F410" s="33"/>
      <c r="G410" s="33"/>
      <c r="H410" s="33"/>
      <c r="I410" s="33"/>
      <c r="J410" s="33"/>
    </row>
    <row r="411" spans="6:10" x14ac:dyDescent="0.25">
      <c r="F411" s="33"/>
      <c r="G411" s="33"/>
      <c r="H411" s="33"/>
      <c r="I411" s="33"/>
      <c r="J411" s="33"/>
    </row>
    <row r="412" spans="6:10" x14ac:dyDescent="0.25">
      <c r="F412" s="33"/>
      <c r="G412" s="33"/>
      <c r="H412" s="33"/>
      <c r="I412" s="33"/>
      <c r="J412" s="33"/>
    </row>
    <row r="413" spans="6:10" x14ac:dyDescent="0.25">
      <c r="F413" s="33"/>
      <c r="G413" s="33"/>
      <c r="H413" s="33"/>
      <c r="I413" s="33"/>
      <c r="J413" s="33"/>
    </row>
    <row r="414" spans="6:10" x14ac:dyDescent="0.25">
      <c r="F414" s="33"/>
      <c r="G414" s="33"/>
      <c r="H414" s="33"/>
      <c r="I414" s="33"/>
      <c r="J414" s="33"/>
    </row>
    <row r="415" spans="6:10" x14ac:dyDescent="0.25">
      <c r="F415" s="33"/>
      <c r="G415" s="33"/>
      <c r="H415" s="33"/>
      <c r="I415" s="33"/>
      <c r="J415" s="33"/>
    </row>
    <row r="416" spans="6:10" x14ac:dyDescent="0.25">
      <c r="F416" s="33"/>
      <c r="G416" s="33"/>
      <c r="H416" s="33"/>
      <c r="I416" s="33"/>
      <c r="J416" s="33"/>
    </row>
    <row r="417" spans="6:10" x14ac:dyDescent="0.25">
      <c r="F417" s="33"/>
      <c r="G417" s="33"/>
      <c r="H417" s="33"/>
      <c r="I417" s="33"/>
      <c r="J417" s="33"/>
    </row>
    <row r="418" spans="6:10" x14ac:dyDescent="0.25">
      <c r="F418" s="33"/>
      <c r="G418" s="33"/>
      <c r="H418" s="33"/>
      <c r="I418" s="33"/>
      <c r="J418" s="33"/>
    </row>
    <row r="419" spans="6:10" x14ac:dyDescent="0.25">
      <c r="F419" s="33"/>
      <c r="G419" s="33"/>
      <c r="H419" s="33"/>
      <c r="I419" s="33"/>
      <c r="J419" s="33"/>
    </row>
    <row r="420" spans="6:10" x14ac:dyDescent="0.25">
      <c r="F420" s="33"/>
      <c r="G420" s="33"/>
      <c r="H420" s="33"/>
      <c r="I420" s="33"/>
      <c r="J420" s="33"/>
    </row>
    <row r="421" spans="6:10" x14ac:dyDescent="0.25">
      <c r="F421" s="33"/>
      <c r="G421" s="33"/>
      <c r="H421" s="33"/>
      <c r="I421" s="33"/>
      <c r="J421" s="33"/>
    </row>
    <row r="422" spans="6:10" x14ac:dyDescent="0.25">
      <c r="F422" s="33"/>
      <c r="G422" s="33"/>
      <c r="H422" s="33"/>
      <c r="I422" s="33"/>
      <c r="J422" s="33"/>
    </row>
    <row r="423" spans="6:10" x14ac:dyDescent="0.25">
      <c r="F423" s="33"/>
      <c r="G423" s="33"/>
      <c r="H423" s="33"/>
      <c r="I423" s="33"/>
      <c r="J423" s="33"/>
    </row>
    <row r="424" spans="6:10" x14ac:dyDescent="0.25">
      <c r="F424" s="33"/>
      <c r="G424" s="33"/>
      <c r="H424" s="33"/>
      <c r="I424" s="33"/>
      <c r="J424" s="33"/>
    </row>
    <row r="425" spans="6:10" x14ac:dyDescent="0.25">
      <c r="F425" s="33"/>
      <c r="G425" s="33"/>
      <c r="H425" s="33"/>
      <c r="I425" s="33"/>
      <c r="J425" s="33"/>
    </row>
    <row r="426" spans="6:10" x14ac:dyDescent="0.25">
      <c r="F426" s="33"/>
      <c r="G426" s="33"/>
      <c r="H426" s="33"/>
      <c r="I426" s="33"/>
      <c r="J426" s="33"/>
    </row>
    <row r="427" spans="6:10" x14ac:dyDescent="0.25">
      <c r="F427" s="33"/>
      <c r="G427" s="33"/>
      <c r="H427" s="33"/>
      <c r="I427" s="33"/>
      <c r="J427" s="33"/>
    </row>
    <row r="428" spans="6:10" x14ac:dyDescent="0.25">
      <c r="F428" s="33"/>
      <c r="G428" s="33"/>
      <c r="H428" s="33"/>
      <c r="I428" s="33"/>
      <c r="J428" s="33"/>
    </row>
    <row r="429" spans="6:10" x14ac:dyDescent="0.25">
      <c r="F429" s="33"/>
      <c r="G429" s="33"/>
      <c r="H429" s="33"/>
      <c r="I429" s="33"/>
      <c r="J429" s="33"/>
    </row>
    <row r="430" spans="6:10" x14ac:dyDescent="0.25">
      <c r="F430" s="33"/>
      <c r="G430" s="33"/>
      <c r="H430" s="33"/>
      <c r="I430" s="33"/>
      <c r="J430" s="33"/>
    </row>
    <row r="431" spans="6:10" x14ac:dyDescent="0.25">
      <c r="F431" s="33"/>
      <c r="G431" s="33"/>
      <c r="H431" s="33"/>
      <c r="I431" s="33"/>
      <c r="J431" s="33"/>
    </row>
    <row r="432" spans="6:10" x14ac:dyDescent="0.25">
      <c r="F432" s="33"/>
      <c r="G432" s="33"/>
      <c r="H432" s="33"/>
      <c r="I432" s="33"/>
      <c r="J432" s="33"/>
    </row>
    <row r="433" spans="6:10" x14ac:dyDescent="0.25">
      <c r="F433" s="33"/>
      <c r="G433" s="33"/>
      <c r="H433" s="33"/>
      <c r="I433" s="33"/>
      <c r="J433" s="33"/>
    </row>
    <row r="434" spans="6:10" x14ac:dyDescent="0.25">
      <c r="F434" s="33"/>
      <c r="G434" s="33"/>
      <c r="H434" s="33"/>
      <c r="I434" s="33"/>
      <c r="J434" s="33"/>
    </row>
    <row r="435" spans="6:10" x14ac:dyDescent="0.25">
      <c r="F435" s="33"/>
      <c r="G435" s="33"/>
      <c r="H435" s="33"/>
      <c r="I435" s="33"/>
      <c r="J435" s="33"/>
    </row>
    <row r="436" spans="6:10" x14ac:dyDescent="0.25">
      <c r="F436" s="33"/>
      <c r="G436" s="33"/>
      <c r="H436" s="33"/>
      <c r="I436" s="33"/>
      <c r="J436" s="33"/>
    </row>
    <row r="437" spans="6:10" x14ac:dyDescent="0.25">
      <c r="F437" s="33"/>
      <c r="G437" s="33"/>
      <c r="H437" s="33"/>
      <c r="I437" s="33"/>
      <c r="J437" s="33"/>
    </row>
    <row r="438" spans="6:10" x14ac:dyDescent="0.25">
      <c r="F438" s="33"/>
      <c r="G438" s="33"/>
      <c r="H438" s="33"/>
      <c r="I438" s="33"/>
      <c r="J438" s="33"/>
    </row>
    <row r="439" spans="6:10" x14ac:dyDescent="0.25">
      <c r="F439" s="33"/>
      <c r="G439" s="33"/>
      <c r="H439" s="33"/>
      <c r="I439" s="33"/>
      <c r="J439" s="33"/>
    </row>
    <row r="440" spans="6:10" x14ac:dyDescent="0.25">
      <c r="F440" s="33"/>
      <c r="G440" s="33"/>
      <c r="H440" s="33"/>
      <c r="I440" s="33"/>
      <c r="J440" s="33"/>
    </row>
    <row r="441" spans="6:10" x14ac:dyDescent="0.25">
      <c r="F441" s="33"/>
      <c r="G441" s="33"/>
      <c r="H441" s="33"/>
      <c r="I441" s="33"/>
      <c r="J441" s="33"/>
    </row>
    <row r="442" spans="6:10" x14ac:dyDescent="0.25">
      <c r="F442" s="33"/>
      <c r="G442" s="33"/>
      <c r="H442" s="33"/>
      <c r="I442" s="33"/>
      <c r="J442" s="33"/>
    </row>
    <row r="443" spans="6:10" x14ac:dyDescent="0.25">
      <c r="F443" s="33"/>
      <c r="G443" s="33"/>
      <c r="H443" s="33"/>
      <c r="I443" s="33"/>
      <c r="J443" s="33"/>
    </row>
    <row r="444" spans="6:10" x14ac:dyDescent="0.25">
      <c r="F444" s="33"/>
      <c r="G444" s="33"/>
      <c r="H444" s="33"/>
      <c r="I444" s="33"/>
      <c r="J444" s="33"/>
    </row>
    <row r="445" spans="6:10" x14ac:dyDescent="0.25">
      <c r="F445" s="33"/>
      <c r="G445" s="33"/>
      <c r="H445" s="33"/>
      <c r="I445" s="33"/>
      <c r="J445" s="33"/>
    </row>
    <row r="446" spans="6:10" x14ac:dyDescent="0.25">
      <c r="F446" s="33"/>
      <c r="G446" s="33"/>
      <c r="H446" s="33"/>
      <c r="I446" s="33"/>
      <c r="J446" s="33"/>
    </row>
    <row r="447" spans="6:10" x14ac:dyDescent="0.25">
      <c r="F447" s="33"/>
      <c r="G447" s="33"/>
      <c r="H447" s="33"/>
      <c r="I447" s="33"/>
      <c r="J447" s="33"/>
    </row>
    <row r="448" spans="6:10" x14ac:dyDescent="0.25">
      <c r="F448" s="33"/>
      <c r="G448" s="33"/>
      <c r="H448" s="33"/>
      <c r="I448" s="33"/>
      <c r="J448" s="33"/>
    </row>
    <row r="449" spans="6:10" x14ac:dyDescent="0.25">
      <c r="F449" s="33"/>
      <c r="G449" s="33"/>
      <c r="H449" s="33"/>
      <c r="I449" s="33"/>
      <c r="J449" s="33"/>
    </row>
    <row r="450" spans="6:10" x14ac:dyDescent="0.25">
      <c r="F450" s="33"/>
      <c r="G450" s="33"/>
      <c r="H450" s="33"/>
      <c r="I450" s="33"/>
      <c r="J450" s="33"/>
    </row>
    <row r="451" spans="6:10" x14ac:dyDescent="0.25">
      <c r="F451" s="33"/>
      <c r="G451" s="33"/>
      <c r="H451" s="33"/>
      <c r="I451" s="33"/>
      <c r="J451" s="33"/>
    </row>
    <row r="452" spans="6:10" x14ac:dyDescent="0.25">
      <c r="F452" s="33"/>
      <c r="G452" s="33"/>
      <c r="H452" s="33"/>
      <c r="I452" s="33"/>
      <c r="J452" s="33"/>
    </row>
    <row r="453" spans="6:10" x14ac:dyDescent="0.25">
      <c r="F453" s="33"/>
      <c r="G453" s="33"/>
      <c r="H453" s="33"/>
      <c r="I453" s="33"/>
      <c r="J453" s="33"/>
    </row>
    <row r="454" spans="6:10" x14ac:dyDescent="0.25">
      <c r="F454" s="33"/>
      <c r="G454" s="33"/>
      <c r="H454" s="33"/>
      <c r="I454" s="33"/>
      <c r="J454" s="33"/>
    </row>
    <row r="455" spans="6:10" x14ac:dyDescent="0.25">
      <c r="F455" s="33"/>
      <c r="G455" s="33"/>
      <c r="H455" s="33"/>
      <c r="I455" s="33"/>
      <c r="J455" s="33"/>
    </row>
    <row r="456" spans="6:10" x14ac:dyDescent="0.25">
      <c r="F456" s="33"/>
      <c r="G456" s="33"/>
      <c r="H456" s="33"/>
      <c r="I456" s="33"/>
      <c r="J456" s="33"/>
    </row>
    <row r="457" spans="6:10" x14ac:dyDescent="0.25">
      <c r="F457" s="33"/>
      <c r="G457" s="33"/>
      <c r="H457" s="33"/>
      <c r="I457" s="33"/>
      <c r="J457" s="33"/>
    </row>
    <row r="458" spans="6:10" x14ac:dyDescent="0.25">
      <c r="F458" s="33"/>
      <c r="G458" s="33"/>
      <c r="H458" s="33"/>
      <c r="I458" s="33"/>
      <c r="J458" s="33"/>
    </row>
    <row r="459" spans="6:10" x14ac:dyDescent="0.25">
      <c r="F459" s="33"/>
      <c r="G459" s="33"/>
      <c r="H459" s="33"/>
      <c r="I459" s="33"/>
      <c r="J459" s="33"/>
    </row>
    <row r="460" spans="6:10" x14ac:dyDescent="0.25">
      <c r="F460" s="33"/>
      <c r="G460" s="33"/>
      <c r="H460" s="33"/>
      <c r="I460" s="33"/>
      <c r="J460" s="33"/>
    </row>
    <row r="461" spans="6:10" x14ac:dyDescent="0.25">
      <c r="F461" s="33"/>
      <c r="G461" s="33"/>
      <c r="H461" s="33"/>
      <c r="I461" s="33"/>
      <c r="J461" s="33"/>
    </row>
    <row r="462" spans="6:10" x14ac:dyDescent="0.25">
      <c r="F462" s="33"/>
      <c r="G462" s="33"/>
      <c r="H462" s="33"/>
      <c r="I462" s="33"/>
      <c r="J462" s="33"/>
    </row>
    <row r="463" spans="6:10" x14ac:dyDescent="0.25">
      <c r="F463" s="33"/>
      <c r="G463" s="33"/>
      <c r="H463" s="33"/>
      <c r="I463" s="33"/>
      <c r="J463" s="33"/>
    </row>
    <row r="464" spans="6:10" x14ac:dyDescent="0.25">
      <c r="F464" s="33"/>
      <c r="G464" s="33"/>
      <c r="H464" s="33"/>
      <c r="I464" s="33"/>
      <c r="J464" s="33"/>
    </row>
    <row r="465" spans="6:10" x14ac:dyDescent="0.25">
      <c r="F465" s="33"/>
      <c r="G465" s="33"/>
      <c r="H465" s="33"/>
      <c r="I465" s="33"/>
      <c r="J465" s="33"/>
    </row>
    <row r="466" spans="6:10" x14ac:dyDescent="0.25">
      <c r="F466" s="33"/>
      <c r="G466" s="33"/>
      <c r="H466" s="33"/>
      <c r="I466" s="33"/>
      <c r="J466" s="33"/>
    </row>
    <row r="467" spans="6:10" x14ac:dyDescent="0.25">
      <c r="F467" s="33"/>
      <c r="G467" s="33"/>
      <c r="H467" s="33"/>
      <c r="I467" s="33"/>
      <c r="J467" s="33"/>
    </row>
    <row r="468" spans="6:10" x14ac:dyDescent="0.25">
      <c r="F468" s="33"/>
      <c r="G468" s="33"/>
      <c r="H468" s="33"/>
      <c r="I468" s="33"/>
      <c r="J468" s="33"/>
    </row>
    <row r="469" spans="6:10" x14ac:dyDescent="0.25">
      <c r="F469" s="33"/>
      <c r="G469" s="33"/>
      <c r="H469" s="33"/>
      <c r="I469" s="33"/>
      <c r="J469" s="33"/>
    </row>
    <row r="470" spans="6:10" x14ac:dyDescent="0.25">
      <c r="F470" s="33"/>
      <c r="G470" s="33"/>
      <c r="H470" s="33"/>
      <c r="I470" s="33"/>
      <c r="J470" s="33"/>
    </row>
    <row r="471" spans="6:10" x14ac:dyDescent="0.25">
      <c r="F471" s="33"/>
      <c r="G471" s="33"/>
      <c r="H471" s="33"/>
      <c r="I471" s="33"/>
      <c r="J471" s="33"/>
    </row>
    <row r="472" spans="6:10" x14ac:dyDescent="0.25">
      <c r="F472" s="33"/>
      <c r="G472" s="33"/>
      <c r="H472" s="33"/>
      <c r="I472" s="33"/>
      <c r="J472" s="33"/>
    </row>
    <row r="473" spans="6:10" x14ac:dyDescent="0.25">
      <c r="F473" s="33"/>
      <c r="G473" s="33"/>
      <c r="H473" s="33"/>
      <c r="I473" s="33"/>
      <c r="J473" s="33"/>
    </row>
    <row r="474" spans="6:10" x14ac:dyDescent="0.25">
      <c r="F474" s="33"/>
      <c r="G474" s="33"/>
      <c r="H474" s="33"/>
      <c r="I474" s="33"/>
      <c r="J474" s="33"/>
    </row>
    <row r="475" spans="6:10" x14ac:dyDescent="0.25">
      <c r="F475" s="33"/>
      <c r="G475" s="33"/>
      <c r="H475" s="33"/>
      <c r="I475" s="33"/>
      <c r="J475" s="33"/>
    </row>
    <row r="476" spans="6:10" x14ac:dyDescent="0.25">
      <c r="F476" s="33"/>
      <c r="G476" s="33"/>
      <c r="H476" s="33"/>
      <c r="I476" s="33"/>
      <c r="J476" s="33"/>
    </row>
    <row r="477" spans="6:10" x14ac:dyDescent="0.25">
      <c r="F477" s="33"/>
      <c r="G477" s="33"/>
      <c r="H477" s="33"/>
      <c r="I477" s="33"/>
      <c r="J477" s="33"/>
    </row>
    <row r="478" spans="6:10" x14ac:dyDescent="0.25">
      <c r="F478" s="33"/>
      <c r="G478" s="33"/>
      <c r="H478" s="33"/>
      <c r="I478" s="33"/>
      <c r="J478" s="33"/>
    </row>
    <row r="479" spans="6:10" x14ac:dyDescent="0.25">
      <c r="F479" s="33"/>
      <c r="G479" s="33"/>
      <c r="H479" s="33"/>
      <c r="I479" s="33"/>
      <c r="J479" s="33"/>
    </row>
    <row r="480" spans="6:10" x14ac:dyDescent="0.25">
      <c r="F480" s="33"/>
      <c r="G480" s="33"/>
      <c r="H480" s="33"/>
      <c r="I480" s="33"/>
      <c r="J480" s="33"/>
    </row>
    <row r="481" spans="6:10" x14ac:dyDescent="0.25">
      <c r="F481" s="33"/>
      <c r="G481" s="33"/>
      <c r="H481" s="33"/>
      <c r="I481" s="33"/>
      <c r="J481" s="33"/>
    </row>
    <row r="482" spans="6:10" x14ac:dyDescent="0.25">
      <c r="F482" s="33"/>
      <c r="G482" s="33"/>
      <c r="H482" s="33"/>
      <c r="I482" s="33"/>
      <c r="J482" s="33"/>
    </row>
    <row r="483" spans="6:10" x14ac:dyDescent="0.25">
      <c r="F483" s="33"/>
      <c r="G483" s="33"/>
      <c r="H483" s="33"/>
      <c r="I483" s="33"/>
      <c r="J483" s="33"/>
    </row>
    <row r="484" spans="6:10" x14ac:dyDescent="0.25">
      <c r="F484" s="33"/>
      <c r="G484" s="33"/>
      <c r="H484" s="33"/>
      <c r="I484" s="33"/>
      <c r="J484" s="33"/>
    </row>
    <row r="485" spans="6:10" x14ac:dyDescent="0.25">
      <c r="F485" s="33"/>
      <c r="G485" s="33"/>
      <c r="H485" s="33"/>
      <c r="I485" s="33"/>
      <c r="J485" s="33"/>
    </row>
    <row r="486" spans="6:10" x14ac:dyDescent="0.25">
      <c r="F486" s="33"/>
      <c r="G486" s="33"/>
      <c r="H486" s="33"/>
      <c r="I486" s="33"/>
      <c r="J486" s="33"/>
    </row>
    <row r="487" spans="6:10" x14ac:dyDescent="0.25">
      <c r="F487" s="33"/>
      <c r="G487" s="33"/>
      <c r="H487" s="33"/>
      <c r="I487" s="33"/>
      <c r="J487" s="33"/>
    </row>
    <row r="488" spans="6:10" x14ac:dyDescent="0.25">
      <c r="F488" s="33"/>
      <c r="G488" s="33"/>
      <c r="H488" s="33"/>
      <c r="I488" s="33"/>
      <c r="J488" s="33"/>
    </row>
    <row r="489" spans="6:10" x14ac:dyDescent="0.25">
      <c r="F489" s="33"/>
      <c r="G489" s="33"/>
      <c r="H489" s="33"/>
      <c r="I489" s="33"/>
      <c r="J489" s="33"/>
    </row>
    <row r="490" spans="6:10" x14ac:dyDescent="0.25">
      <c r="F490" s="33"/>
      <c r="G490" s="33"/>
      <c r="H490" s="33"/>
      <c r="I490" s="33"/>
      <c r="J490" s="33"/>
    </row>
    <row r="491" spans="6:10" x14ac:dyDescent="0.25">
      <c r="F491" s="33"/>
      <c r="G491" s="33"/>
      <c r="H491" s="33"/>
      <c r="I491" s="33"/>
      <c r="J491" s="33"/>
    </row>
    <row r="492" spans="6:10" x14ac:dyDescent="0.25">
      <c r="F492" s="33"/>
      <c r="G492" s="33"/>
      <c r="H492" s="33"/>
      <c r="I492" s="33"/>
      <c r="J492" s="33"/>
    </row>
    <row r="493" spans="6:10" x14ac:dyDescent="0.25">
      <c r="F493" s="33"/>
      <c r="G493" s="33"/>
      <c r="H493" s="33"/>
      <c r="I493" s="33"/>
      <c r="J493" s="33"/>
    </row>
    <row r="494" spans="6:10" x14ac:dyDescent="0.25">
      <c r="F494" s="33"/>
      <c r="G494" s="33"/>
      <c r="H494" s="33"/>
      <c r="I494" s="33"/>
      <c r="J494" s="33"/>
    </row>
    <row r="495" spans="6:10" x14ac:dyDescent="0.25">
      <c r="F495" s="33"/>
      <c r="G495" s="33"/>
      <c r="H495" s="33"/>
      <c r="I495" s="33"/>
      <c r="J495" s="33"/>
    </row>
    <row r="496" spans="6:10" x14ac:dyDescent="0.25">
      <c r="F496" s="33"/>
      <c r="G496" s="33"/>
      <c r="H496" s="33"/>
      <c r="I496" s="33"/>
      <c r="J496" s="33"/>
    </row>
    <row r="497" spans="6:10" x14ac:dyDescent="0.25">
      <c r="F497" s="33"/>
      <c r="G497" s="33"/>
      <c r="H497" s="33"/>
      <c r="I497" s="33"/>
      <c r="J497" s="33"/>
    </row>
    <row r="498" spans="6:10" x14ac:dyDescent="0.25">
      <c r="F498" s="33"/>
      <c r="G498" s="33"/>
      <c r="H498" s="33"/>
      <c r="I498" s="33"/>
      <c r="J498" s="33"/>
    </row>
    <row r="499" spans="6:10" x14ac:dyDescent="0.25">
      <c r="F499" s="33"/>
      <c r="G499" s="33"/>
      <c r="H499" s="33"/>
      <c r="I499" s="33"/>
      <c r="J499" s="33"/>
    </row>
    <row r="500" spans="6:10" x14ac:dyDescent="0.25">
      <c r="F500" s="33"/>
      <c r="G500" s="33"/>
      <c r="H500" s="33"/>
      <c r="I500" s="33"/>
      <c r="J500" s="33"/>
    </row>
    <row r="501" spans="6:10" x14ac:dyDescent="0.25">
      <c r="F501" s="33"/>
      <c r="G501" s="33"/>
      <c r="H501" s="33"/>
      <c r="I501" s="33"/>
      <c r="J501" s="33"/>
    </row>
    <row r="502" spans="6:10" x14ac:dyDescent="0.25">
      <c r="F502" s="33"/>
      <c r="G502" s="33"/>
      <c r="H502" s="33"/>
      <c r="I502" s="33"/>
      <c r="J502" s="33"/>
    </row>
    <row r="503" spans="6:10" x14ac:dyDescent="0.25">
      <c r="F503" s="33"/>
      <c r="G503" s="33"/>
      <c r="H503" s="33"/>
      <c r="I503" s="33"/>
      <c r="J503" s="33"/>
    </row>
    <row r="504" spans="6:10" x14ac:dyDescent="0.25">
      <c r="F504" s="33"/>
      <c r="G504" s="33"/>
      <c r="H504" s="33"/>
      <c r="I504" s="33"/>
      <c r="J504" s="33"/>
    </row>
    <row r="505" spans="6:10" x14ac:dyDescent="0.25">
      <c r="F505" s="33"/>
      <c r="G505" s="33"/>
      <c r="H505" s="33"/>
      <c r="I505" s="33"/>
      <c r="J505" s="33"/>
    </row>
    <row r="506" spans="6:10" x14ac:dyDescent="0.25">
      <c r="F506" s="33"/>
      <c r="G506" s="33"/>
      <c r="H506" s="33"/>
      <c r="I506" s="33"/>
      <c r="J506" s="33"/>
    </row>
    <row r="507" spans="6:10" x14ac:dyDescent="0.25">
      <c r="F507" s="33"/>
      <c r="G507" s="33"/>
      <c r="H507" s="33"/>
      <c r="I507" s="33"/>
      <c r="J507" s="33"/>
    </row>
    <row r="508" spans="6:10" x14ac:dyDescent="0.25">
      <c r="F508" s="33"/>
      <c r="G508" s="33"/>
      <c r="H508" s="33"/>
      <c r="I508" s="33"/>
      <c r="J508" s="33"/>
    </row>
    <row r="509" spans="6:10" x14ac:dyDescent="0.25">
      <c r="F509" s="33"/>
      <c r="G509" s="33"/>
      <c r="H509" s="33"/>
      <c r="I509" s="33"/>
      <c r="J509" s="33"/>
    </row>
    <row r="510" spans="6:10" x14ac:dyDescent="0.25">
      <c r="F510" s="33"/>
      <c r="G510" s="33"/>
      <c r="H510" s="33"/>
      <c r="I510" s="33"/>
      <c r="J510" s="33"/>
    </row>
    <row r="511" spans="6:10" x14ac:dyDescent="0.25">
      <c r="F511" s="33"/>
      <c r="G511" s="33"/>
      <c r="H511" s="33"/>
      <c r="I511" s="33"/>
      <c r="J511" s="33"/>
    </row>
    <row r="512" spans="6:10" x14ac:dyDescent="0.25">
      <c r="F512" s="33"/>
      <c r="G512" s="33"/>
      <c r="H512" s="33"/>
      <c r="I512" s="33"/>
      <c r="J512" s="33"/>
    </row>
    <row r="513" spans="6:10" x14ac:dyDescent="0.25">
      <c r="F513" s="33"/>
      <c r="G513" s="33"/>
      <c r="H513" s="33"/>
      <c r="I513" s="33"/>
      <c r="J513" s="33"/>
    </row>
    <row r="514" spans="6:10" x14ac:dyDescent="0.25">
      <c r="F514" s="33"/>
      <c r="G514" s="33"/>
      <c r="H514" s="33"/>
      <c r="I514" s="33"/>
      <c r="J514" s="33"/>
    </row>
    <row r="515" spans="6:10" x14ac:dyDescent="0.25">
      <c r="F515" s="33"/>
      <c r="G515" s="33"/>
      <c r="H515" s="33"/>
      <c r="I515" s="33"/>
      <c r="J515" s="33"/>
    </row>
    <row r="516" spans="6:10" x14ac:dyDescent="0.25">
      <c r="F516" s="33"/>
      <c r="G516" s="33"/>
      <c r="H516" s="33"/>
      <c r="I516" s="33"/>
      <c r="J516" s="33"/>
    </row>
    <row r="517" spans="6:10" x14ac:dyDescent="0.25">
      <c r="F517" s="33"/>
      <c r="G517" s="33"/>
      <c r="H517" s="33"/>
      <c r="I517" s="33"/>
      <c r="J517" s="33"/>
    </row>
    <row r="518" spans="6:10" x14ac:dyDescent="0.25">
      <c r="F518" s="33"/>
      <c r="G518" s="33"/>
      <c r="H518" s="33"/>
      <c r="I518" s="33"/>
      <c r="J518" s="33"/>
    </row>
    <row r="519" spans="6:10" x14ac:dyDescent="0.25">
      <c r="F519" s="33"/>
      <c r="G519" s="33"/>
      <c r="H519" s="33"/>
      <c r="I519" s="33"/>
      <c r="J519" s="33"/>
    </row>
    <row r="520" spans="6:10" x14ac:dyDescent="0.25">
      <c r="F520" s="33"/>
      <c r="G520" s="33"/>
      <c r="H520" s="33"/>
      <c r="I520" s="33"/>
      <c r="J520" s="33"/>
    </row>
    <row r="521" spans="6:10" x14ac:dyDescent="0.25">
      <c r="F521" s="33"/>
      <c r="G521" s="33"/>
      <c r="H521" s="33"/>
      <c r="I521" s="33"/>
      <c r="J521" s="33"/>
    </row>
    <row r="522" spans="6:10" x14ac:dyDescent="0.25">
      <c r="F522" s="33"/>
      <c r="G522" s="33"/>
      <c r="H522" s="33"/>
      <c r="I522" s="33"/>
      <c r="J522" s="33"/>
    </row>
    <row r="523" spans="6:10" x14ac:dyDescent="0.25">
      <c r="F523" s="33"/>
      <c r="G523" s="33"/>
      <c r="H523" s="33"/>
      <c r="I523" s="33"/>
      <c r="J523" s="33"/>
    </row>
    <row r="524" spans="6:10" x14ac:dyDescent="0.25">
      <c r="F524" s="33"/>
      <c r="G524" s="33"/>
      <c r="H524" s="33"/>
      <c r="I524" s="33"/>
      <c r="J524" s="33"/>
    </row>
    <row r="525" spans="6:10" x14ac:dyDescent="0.25">
      <c r="F525" s="33"/>
      <c r="G525" s="33"/>
      <c r="H525" s="33"/>
      <c r="I525" s="33"/>
      <c r="J525" s="33"/>
    </row>
    <row r="526" spans="6:10" x14ac:dyDescent="0.25">
      <c r="F526" s="33"/>
      <c r="G526" s="33"/>
      <c r="H526" s="33"/>
      <c r="I526" s="33"/>
      <c r="J526" s="33"/>
    </row>
    <row r="527" spans="6:10" x14ac:dyDescent="0.25">
      <c r="F527" s="33"/>
      <c r="G527" s="33"/>
      <c r="H527" s="33"/>
      <c r="I527" s="33"/>
      <c r="J527" s="33"/>
    </row>
    <row r="528" spans="6:10" x14ac:dyDescent="0.25">
      <c r="F528" s="33"/>
      <c r="G528" s="33"/>
      <c r="H528" s="33"/>
      <c r="I528" s="33"/>
      <c r="J528" s="33"/>
    </row>
    <row r="529" spans="6:10" x14ac:dyDescent="0.25">
      <c r="F529" s="33"/>
      <c r="G529" s="33"/>
      <c r="H529" s="33"/>
      <c r="I529" s="33"/>
      <c r="J529" s="33"/>
    </row>
    <row r="530" spans="6:10" x14ac:dyDescent="0.25">
      <c r="F530" s="33"/>
      <c r="G530" s="33"/>
      <c r="H530" s="33"/>
      <c r="I530" s="33"/>
      <c r="J530" s="33"/>
    </row>
    <row r="531" spans="6:10" x14ac:dyDescent="0.25">
      <c r="F531" s="33"/>
      <c r="G531" s="33"/>
      <c r="H531" s="33"/>
      <c r="I531" s="33"/>
      <c r="J531" s="33"/>
    </row>
    <row r="532" spans="6:10" x14ac:dyDescent="0.25">
      <c r="F532" s="33"/>
      <c r="G532" s="33"/>
      <c r="H532" s="33"/>
      <c r="I532" s="33"/>
      <c r="J532" s="33"/>
    </row>
    <row r="533" spans="6:10" x14ac:dyDescent="0.25">
      <c r="F533" s="33"/>
      <c r="G533" s="33"/>
      <c r="H533" s="33"/>
      <c r="I533" s="33"/>
      <c r="J533" s="33"/>
    </row>
    <row r="534" spans="6:10" x14ac:dyDescent="0.25">
      <c r="F534" s="33"/>
      <c r="G534" s="33"/>
      <c r="H534" s="33"/>
      <c r="I534" s="33"/>
      <c r="J534" s="33"/>
    </row>
    <row r="535" spans="6:10" x14ac:dyDescent="0.25">
      <c r="F535" s="33"/>
      <c r="G535" s="33"/>
      <c r="H535" s="33"/>
      <c r="I535" s="33"/>
      <c r="J535" s="33"/>
    </row>
    <row r="536" spans="6:10" x14ac:dyDescent="0.25">
      <c r="F536" s="33"/>
      <c r="G536" s="33"/>
      <c r="H536" s="33"/>
      <c r="I536" s="33"/>
      <c r="J536" s="33"/>
    </row>
    <row r="537" spans="6:10" x14ac:dyDescent="0.25">
      <c r="F537" s="33"/>
      <c r="G537" s="33"/>
      <c r="H537" s="33"/>
      <c r="I537" s="33"/>
      <c r="J537" s="33"/>
    </row>
    <row r="538" spans="6:10" x14ac:dyDescent="0.25">
      <c r="F538" s="33"/>
      <c r="G538" s="33"/>
      <c r="H538" s="33"/>
      <c r="I538" s="33"/>
      <c r="J538" s="33"/>
    </row>
    <row r="539" spans="6:10" x14ac:dyDescent="0.25">
      <c r="F539" s="33"/>
      <c r="G539" s="33"/>
      <c r="H539" s="33"/>
      <c r="I539" s="33"/>
      <c r="J539" s="33"/>
    </row>
    <row r="540" spans="6:10" x14ac:dyDescent="0.25">
      <c r="F540" s="33"/>
      <c r="G540" s="33"/>
      <c r="H540" s="33"/>
      <c r="I540" s="33"/>
      <c r="J540" s="33"/>
    </row>
    <row r="541" spans="6:10" x14ac:dyDescent="0.25">
      <c r="F541" s="33"/>
      <c r="G541" s="33"/>
      <c r="H541" s="33"/>
      <c r="I541" s="33"/>
      <c r="J541" s="33"/>
    </row>
    <row r="542" spans="6:10" x14ac:dyDescent="0.25">
      <c r="F542" s="33"/>
      <c r="G542" s="33"/>
      <c r="H542" s="33"/>
      <c r="I542" s="33"/>
      <c r="J542" s="33"/>
    </row>
    <row r="543" spans="6:10" x14ac:dyDescent="0.25">
      <c r="F543" s="33"/>
      <c r="G543" s="33"/>
      <c r="H543" s="33"/>
      <c r="I543" s="33"/>
      <c r="J543" s="33"/>
    </row>
    <row r="544" spans="6:10" x14ac:dyDescent="0.25">
      <c r="F544" s="33"/>
      <c r="G544" s="33"/>
      <c r="H544" s="33"/>
      <c r="I544" s="33"/>
      <c r="J544" s="33"/>
    </row>
    <row r="545" spans="6:10" x14ac:dyDescent="0.25">
      <c r="F545" s="33"/>
      <c r="G545" s="33"/>
      <c r="H545" s="33"/>
      <c r="I545" s="33"/>
      <c r="J545" s="33"/>
    </row>
    <row r="546" spans="6:10" x14ac:dyDescent="0.25">
      <c r="F546" s="33"/>
      <c r="G546" s="33"/>
      <c r="H546" s="33"/>
      <c r="I546" s="33"/>
      <c r="J546" s="33"/>
    </row>
    <row r="547" spans="6:10" x14ac:dyDescent="0.25">
      <c r="F547" s="33"/>
      <c r="G547" s="33"/>
      <c r="H547" s="33"/>
      <c r="I547" s="33"/>
      <c r="J547" s="33"/>
    </row>
    <row r="548" spans="6:10" x14ac:dyDescent="0.25">
      <c r="F548" s="33"/>
      <c r="G548" s="33"/>
      <c r="H548" s="33"/>
      <c r="I548" s="33"/>
      <c r="J548" s="33"/>
    </row>
    <row r="549" spans="6:10" x14ac:dyDescent="0.25">
      <c r="F549" s="33"/>
      <c r="G549" s="33"/>
      <c r="H549" s="33"/>
      <c r="I549" s="33"/>
      <c r="J549" s="33"/>
    </row>
    <row r="550" spans="6:10" x14ac:dyDescent="0.25">
      <c r="F550" s="33"/>
      <c r="G550" s="33"/>
      <c r="H550" s="33"/>
      <c r="I550" s="33"/>
      <c r="J550" s="33"/>
    </row>
    <row r="551" spans="6:10" x14ac:dyDescent="0.25">
      <c r="F551" s="33"/>
      <c r="G551" s="33"/>
      <c r="H551" s="33"/>
      <c r="I551" s="33"/>
      <c r="J551" s="33"/>
    </row>
    <row r="552" spans="6:10" x14ac:dyDescent="0.25">
      <c r="F552" s="33"/>
      <c r="G552" s="33"/>
      <c r="H552" s="33"/>
      <c r="I552" s="33"/>
      <c r="J552" s="33"/>
    </row>
    <row r="553" spans="6:10" x14ac:dyDescent="0.25">
      <c r="F553" s="33"/>
      <c r="G553" s="33"/>
      <c r="H553" s="33"/>
      <c r="I553" s="33"/>
      <c r="J553" s="33"/>
    </row>
    <row r="554" spans="6:10" x14ac:dyDescent="0.25">
      <c r="F554" s="33"/>
      <c r="G554" s="33"/>
      <c r="H554" s="33"/>
      <c r="I554" s="33"/>
      <c r="J554" s="33"/>
    </row>
    <row r="555" spans="6:10" x14ac:dyDescent="0.25">
      <c r="F555" s="33"/>
      <c r="G555" s="33"/>
      <c r="H555" s="33"/>
      <c r="I555" s="33"/>
      <c r="J555" s="33"/>
    </row>
    <row r="556" spans="6:10" x14ac:dyDescent="0.25">
      <c r="F556" s="33"/>
      <c r="G556" s="33"/>
      <c r="H556" s="33"/>
      <c r="I556" s="33"/>
      <c r="J556" s="33"/>
    </row>
    <row r="557" spans="6:10" x14ac:dyDescent="0.25">
      <c r="F557" s="33"/>
      <c r="G557" s="33"/>
      <c r="H557" s="33"/>
      <c r="I557" s="33"/>
      <c r="J557" s="33"/>
    </row>
    <row r="558" spans="6:10" x14ac:dyDescent="0.25">
      <c r="F558" s="33"/>
      <c r="G558" s="33"/>
      <c r="H558" s="33"/>
      <c r="I558" s="33"/>
      <c r="J558" s="33"/>
    </row>
    <row r="559" spans="6:10" x14ac:dyDescent="0.25">
      <c r="F559" s="33"/>
      <c r="G559" s="33"/>
      <c r="H559" s="33"/>
      <c r="I559" s="33"/>
      <c r="J559" s="33"/>
    </row>
    <row r="560" spans="6:10" x14ac:dyDescent="0.25">
      <c r="F560" s="33"/>
      <c r="G560" s="33"/>
      <c r="H560" s="33"/>
      <c r="I560" s="33"/>
      <c r="J560" s="33"/>
    </row>
    <row r="561" spans="6:10" x14ac:dyDescent="0.25">
      <c r="F561" s="33"/>
      <c r="G561" s="33"/>
      <c r="H561" s="33"/>
      <c r="I561" s="33"/>
      <c r="J561" s="33"/>
    </row>
    <row r="562" spans="6:10" x14ac:dyDescent="0.25">
      <c r="F562" s="33"/>
      <c r="G562" s="33"/>
      <c r="H562" s="33"/>
      <c r="I562" s="33"/>
      <c r="J562" s="33"/>
    </row>
    <row r="563" spans="6:10" x14ac:dyDescent="0.25">
      <c r="F563" s="33"/>
      <c r="G563" s="33"/>
      <c r="H563" s="33"/>
      <c r="I563" s="33"/>
      <c r="J563" s="33"/>
    </row>
    <row r="564" spans="6:10" x14ac:dyDescent="0.25">
      <c r="F564" s="33"/>
      <c r="G564" s="33"/>
      <c r="H564" s="33"/>
      <c r="I564" s="33"/>
      <c r="J564" s="33"/>
    </row>
    <row r="565" spans="6:10" x14ac:dyDescent="0.25">
      <c r="F565" s="33"/>
      <c r="G565" s="33"/>
      <c r="H565" s="33"/>
      <c r="I565" s="33"/>
      <c r="J565" s="33"/>
    </row>
    <row r="566" spans="6:10" x14ac:dyDescent="0.25">
      <c r="F566" s="33"/>
      <c r="G566" s="33"/>
      <c r="H566" s="33"/>
      <c r="I566" s="33"/>
      <c r="J566" s="33"/>
    </row>
    <row r="567" spans="6:10" x14ac:dyDescent="0.25">
      <c r="F567" s="33"/>
      <c r="G567" s="33"/>
      <c r="H567" s="33"/>
      <c r="I567" s="33"/>
      <c r="J567" s="33"/>
    </row>
    <row r="568" spans="6:10" x14ac:dyDescent="0.25">
      <c r="F568" s="33"/>
      <c r="G568" s="33"/>
      <c r="H568" s="33"/>
      <c r="I568" s="33"/>
      <c r="J568" s="33"/>
    </row>
    <row r="569" spans="6:10" x14ac:dyDescent="0.25">
      <c r="F569" s="33"/>
      <c r="G569" s="33"/>
      <c r="H569" s="33"/>
      <c r="I569" s="33"/>
      <c r="J569" s="33"/>
    </row>
    <row r="570" spans="6:10" x14ac:dyDescent="0.25">
      <c r="F570" s="33"/>
      <c r="G570" s="33"/>
      <c r="H570" s="33"/>
      <c r="I570" s="33"/>
      <c r="J570" s="33"/>
    </row>
    <row r="571" spans="6:10" x14ac:dyDescent="0.25">
      <c r="F571" s="33"/>
      <c r="G571" s="33"/>
      <c r="H571" s="33"/>
      <c r="I571" s="33"/>
      <c r="J571" s="33"/>
    </row>
    <row r="572" spans="6:10" x14ac:dyDescent="0.25">
      <c r="F572" s="33"/>
      <c r="G572" s="33"/>
      <c r="H572" s="33"/>
      <c r="I572" s="33"/>
      <c r="J572" s="33"/>
    </row>
    <row r="573" spans="6:10" x14ac:dyDescent="0.25">
      <c r="F573" s="33"/>
      <c r="G573" s="33"/>
      <c r="H573" s="33"/>
      <c r="I573" s="33"/>
      <c r="J573" s="33"/>
    </row>
    <row r="574" spans="6:10" x14ac:dyDescent="0.25">
      <c r="F574" s="33"/>
      <c r="G574" s="33"/>
      <c r="H574" s="33"/>
      <c r="I574" s="33"/>
      <c r="J574" s="33"/>
    </row>
    <row r="575" spans="6:10" x14ac:dyDescent="0.25">
      <c r="F575" s="33"/>
      <c r="G575" s="33"/>
      <c r="H575" s="33"/>
      <c r="I575" s="33"/>
      <c r="J575" s="33"/>
    </row>
    <row r="576" spans="6:10" x14ac:dyDescent="0.25">
      <c r="F576" s="33"/>
      <c r="G576" s="33"/>
      <c r="H576" s="33"/>
      <c r="I576" s="33"/>
      <c r="J576" s="33"/>
    </row>
    <row r="577" spans="6:10" x14ac:dyDescent="0.25">
      <c r="F577" s="33"/>
      <c r="G577" s="33"/>
      <c r="H577" s="33"/>
      <c r="I577" s="33"/>
      <c r="J577" s="33"/>
    </row>
    <row r="578" spans="6:10" x14ac:dyDescent="0.25">
      <c r="F578" s="33"/>
      <c r="G578" s="33"/>
      <c r="H578" s="33"/>
      <c r="I578" s="33"/>
      <c r="J578" s="33"/>
    </row>
    <row r="579" spans="6:10" x14ac:dyDescent="0.25">
      <c r="F579" s="33"/>
      <c r="G579" s="33"/>
      <c r="H579" s="33"/>
      <c r="I579" s="33"/>
      <c r="J579" s="33"/>
    </row>
    <row r="580" spans="6:10" x14ac:dyDescent="0.25">
      <c r="F580" s="33"/>
      <c r="G580" s="33"/>
      <c r="H580" s="33"/>
      <c r="I580" s="33"/>
      <c r="J580" s="33"/>
    </row>
    <row r="581" spans="6:10" x14ac:dyDescent="0.25">
      <c r="F581" s="33"/>
      <c r="G581" s="33"/>
      <c r="H581" s="33"/>
      <c r="I581" s="33"/>
      <c r="J581" s="33"/>
    </row>
    <row r="582" spans="6:10" x14ac:dyDescent="0.25">
      <c r="F582" s="33"/>
      <c r="G582" s="33"/>
      <c r="H582" s="33"/>
      <c r="I582" s="33"/>
      <c r="J582" s="33"/>
    </row>
    <row r="583" spans="6:10" x14ac:dyDescent="0.25">
      <c r="F583" s="33"/>
      <c r="G583" s="33"/>
      <c r="H583" s="33"/>
      <c r="I583" s="33"/>
      <c r="J583" s="33"/>
    </row>
    <row r="584" spans="6:10" x14ac:dyDescent="0.25">
      <c r="F584" s="33"/>
      <c r="G584" s="33"/>
      <c r="H584" s="33"/>
      <c r="I584" s="33"/>
      <c r="J584" s="33"/>
    </row>
    <row r="585" spans="6:10" x14ac:dyDescent="0.25">
      <c r="F585" s="33"/>
      <c r="G585" s="33"/>
      <c r="H585" s="33"/>
      <c r="I585" s="33"/>
      <c r="J585" s="33"/>
    </row>
    <row r="586" spans="6:10" x14ac:dyDescent="0.25">
      <c r="F586" s="33"/>
      <c r="G586" s="33"/>
      <c r="H586" s="33"/>
      <c r="I586" s="33"/>
      <c r="J586" s="33"/>
    </row>
    <row r="587" spans="6:10" x14ac:dyDescent="0.25">
      <c r="F587" s="33"/>
      <c r="G587" s="33"/>
      <c r="H587" s="33"/>
      <c r="I587" s="33"/>
      <c r="J587" s="33"/>
    </row>
    <row r="588" spans="6:10" x14ac:dyDescent="0.25">
      <c r="F588" s="33"/>
      <c r="G588" s="33"/>
      <c r="H588" s="33"/>
      <c r="I588" s="33"/>
      <c r="J588" s="33"/>
    </row>
    <row r="589" spans="6:10" x14ac:dyDescent="0.25">
      <c r="F589" s="33"/>
      <c r="G589" s="33"/>
      <c r="H589" s="33"/>
      <c r="I589" s="33"/>
      <c r="J589" s="33"/>
    </row>
    <row r="590" spans="6:10" x14ac:dyDescent="0.25">
      <c r="F590" s="33"/>
      <c r="G590" s="33"/>
      <c r="H590" s="33"/>
      <c r="I590" s="33"/>
      <c r="J590" s="33"/>
    </row>
    <row r="591" spans="6:10" x14ac:dyDescent="0.25">
      <c r="F591" s="33"/>
      <c r="G591" s="33"/>
      <c r="H591" s="33"/>
      <c r="I591" s="33"/>
      <c r="J591" s="33"/>
    </row>
    <row r="592" spans="6:10" x14ac:dyDescent="0.25">
      <c r="F592" s="33"/>
      <c r="G592" s="33"/>
      <c r="H592" s="33"/>
      <c r="I592" s="33"/>
      <c r="J592" s="33"/>
    </row>
    <row r="593" spans="6:10" x14ac:dyDescent="0.25">
      <c r="F593" s="33"/>
      <c r="G593" s="33"/>
      <c r="H593" s="33"/>
      <c r="I593" s="33"/>
      <c r="J593" s="33"/>
    </row>
    <row r="594" spans="6:10" x14ac:dyDescent="0.25">
      <c r="F594" s="33"/>
      <c r="G594" s="33"/>
      <c r="H594" s="33"/>
      <c r="I594" s="33"/>
      <c r="J594" s="33"/>
    </row>
    <row r="595" spans="6:10" x14ac:dyDescent="0.25">
      <c r="F595" s="33"/>
      <c r="G595" s="33"/>
      <c r="H595" s="33"/>
      <c r="I595" s="33"/>
      <c r="J595" s="33"/>
    </row>
    <row r="596" spans="6:10" x14ac:dyDescent="0.25">
      <c r="F596" s="33"/>
      <c r="G596" s="33"/>
      <c r="H596" s="33"/>
      <c r="I596" s="33"/>
      <c r="J596" s="33"/>
    </row>
    <row r="597" spans="6:10" x14ac:dyDescent="0.25">
      <c r="F597" s="33"/>
      <c r="G597" s="33"/>
      <c r="H597" s="33"/>
      <c r="I597" s="33"/>
      <c r="J597" s="33"/>
    </row>
    <row r="598" spans="6:10" x14ac:dyDescent="0.25">
      <c r="F598" s="33"/>
      <c r="G598" s="33"/>
      <c r="H598" s="33"/>
      <c r="I598" s="33"/>
      <c r="J598" s="33"/>
    </row>
    <row r="599" spans="6:10" x14ac:dyDescent="0.25">
      <c r="F599" s="33"/>
      <c r="G599" s="33"/>
      <c r="H599" s="33"/>
      <c r="I599" s="33"/>
      <c r="J599" s="33"/>
    </row>
    <row r="600" spans="6:10" x14ac:dyDescent="0.25">
      <c r="F600" s="33"/>
      <c r="G600" s="33"/>
      <c r="H600" s="33"/>
      <c r="I600" s="33"/>
      <c r="J600" s="33"/>
    </row>
  </sheetData>
  <mergeCells count="5">
    <mergeCell ref="C9:D9"/>
    <mergeCell ref="C11:D11"/>
    <mergeCell ref="C5:D5"/>
    <mergeCell ref="C6:D6"/>
    <mergeCell ref="C8:D8"/>
  </mergeCells>
  <conditionalFormatting sqref="J2">
    <cfRule type="containsText" dxfId="15" priority="19" operator="containsText" text="NO">
      <formula>NOT(ISERROR(SEARCH("NO",J2)))</formula>
    </cfRule>
  </conditionalFormatting>
  <conditionalFormatting sqref="C5">
    <cfRule type="expression" dxfId="14" priority="15">
      <formula>$C$5&lt;&gt;$C$6</formula>
    </cfRule>
  </conditionalFormatting>
  <conditionalFormatting sqref="C6">
    <cfRule type="expression" dxfId="13" priority="14">
      <formula>$C$6&lt;&gt;$C$5</formula>
    </cfRule>
  </conditionalFormatting>
  <conditionalFormatting sqref="C11">
    <cfRule type="cellIs" dxfId="12" priority="12" operator="equal">
      <formula>0</formula>
    </cfRule>
    <cfRule type="expression" dxfId="11" priority="13">
      <formula>$C$11&lt;&gt;0</formula>
    </cfRule>
  </conditionalFormatting>
  <conditionalFormatting sqref="L8:L354">
    <cfRule type="expression" dxfId="10" priority="10">
      <formula>IF(F8&lt;&gt;"",IF(H8&lt;&gt;L8,1,0),0)</formula>
    </cfRule>
  </conditionalFormatting>
  <conditionalFormatting sqref="M8:M354">
    <cfRule type="expression" dxfId="9" priority="9">
      <formula>IF(F8&lt;&gt;0,IF(M8&lt;&gt;J8,1,0),0)</formula>
    </cfRule>
  </conditionalFormatting>
  <conditionalFormatting sqref="F8:J8">
    <cfRule type="expression" dxfId="8" priority="8">
      <formula>$F8&lt;&gt;""</formula>
    </cfRule>
  </conditionalFormatting>
  <conditionalFormatting sqref="F9:J350">
    <cfRule type="expression" dxfId="7" priority="7">
      <formula>$F9&lt;&gt;""</formula>
    </cfRule>
  </conditionalFormatting>
  <conditionalFormatting sqref="L8:L354">
    <cfRule type="expression" dxfId="6" priority="6">
      <formula>$F8&lt;&gt;""</formula>
    </cfRule>
  </conditionalFormatting>
  <conditionalFormatting sqref="M8:M354">
    <cfRule type="expression" dxfId="5" priority="5">
      <formula>$F8&lt;&gt;""</formula>
    </cfRule>
  </conditionalFormatting>
  <conditionalFormatting sqref="J5">
    <cfRule type="expression" dxfId="4" priority="3">
      <formula>$C$8=$J$5</formula>
    </cfRule>
    <cfRule type="expression" dxfId="3" priority="4">
      <formula>$C$8&lt;&gt;$J$5</formula>
    </cfRule>
  </conditionalFormatting>
  <conditionalFormatting sqref="M5">
    <cfRule type="expression" dxfId="2" priority="1">
      <formula>$C$9=$M$5</formula>
    </cfRule>
    <cfRule type="expression" dxfId="1" priority="2">
      <formula>$C$9&lt;&gt;$M$5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249977111117893"/>
  </sheetPr>
  <dimension ref="A1:D2"/>
  <sheetViews>
    <sheetView workbookViewId="0">
      <pane ySplit="1" topLeftCell="A2" activePane="bottomLeft" state="frozen"/>
      <selection activeCell="C36" sqref="C36"/>
      <selection pane="bottomLeft" activeCell="B2" sqref="B2"/>
    </sheetView>
  </sheetViews>
  <sheetFormatPr baseColWidth="10" defaultRowHeight="15" x14ac:dyDescent="0.25"/>
  <cols>
    <col min="1" max="1" width="25.28515625" style="1" bestFit="1" customWidth="1"/>
    <col min="2" max="2" width="16" style="1" bestFit="1" customWidth="1"/>
    <col min="3" max="3" width="11" style="1" customWidth="1"/>
    <col min="4" max="4" width="16.85546875" style="1" customWidth="1"/>
  </cols>
  <sheetData>
    <row r="1" spans="1:4" s="43" customFormat="1" ht="30" customHeight="1" x14ac:dyDescent="0.25">
      <c r="A1" s="42" t="s">
        <v>11</v>
      </c>
      <c r="B1" s="42" t="s">
        <v>12</v>
      </c>
      <c r="C1" s="42" t="s">
        <v>13</v>
      </c>
      <c r="D1" s="42" t="s">
        <v>14</v>
      </c>
    </row>
    <row r="2" spans="1:4" x14ac:dyDescent="0.25">
      <c r="A2" s="3"/>
      <c r="B2" s="3"/>
      <c r="C2" s="3" t="s">
        <v>70</v>
      </c>
      <c r="D2" s="3" t="s">
        <v>70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 tint="-0.249977111117893"/>
  </sheetPr>
  <dimension ref="A1:V1"/>
  <sheetViews>
    <sheetView workbookViewId="0">
      <pane ySplit="1" topLeftCell="A2" activePane="bottomLeft" state="frozen"/>
      <selection activeCell="E20" sqref="E20"/>
      <selection pane="bottomLeft" activeCell="C10" sqref="C10"/>
    </sheetView>
  </sheetViews>
  <sheetFormatPr baseColWidth="10" defaultRowHeight="15" x14ac:dyDescent="0.25"/>
  <cols>
    <col min="1" max="1" width="15" style="4" bestFit="1" customWidth="1"/>
    <col min="2" max="2" width="18.28515625" style="4" customWidth="1"/>
    <col min="3" max="3" width="8.85546875" style="4" customWidth="1"/>
    <col min="4" max="4" width="12.85546875" style="4" customWidth="1"/>
    <col min="5" max="5" width="8.7109375" style="4" customWidth="1"/>
    <col min="6" max="7" width="12.85546875" style="4" customWidth="1"/>
    <col min="8" max="8" width="8.5703125" style="4" customWidth="1"/>
    <col min="9" max="9" width="8.7109375" style="4" customWidth="1"/>
    <col min="10" max="10" width="8.85546875" style="4" customWidth="1"/>
    <col min="11" max="11" width="11.5703125" style="4" bestFit="1" customWidth="1"/>
  </cols>
  <sheetData>
    <row r="1" spans="1:22" s="49" customFormat="1" ht="30" customHeight="1" x14ac:dyDescent="0.2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</sheetData>
  <conditionalFormatting sqref="B2">
    <cfRule type="duplicateValues" dxfId="0" priority="23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B050"/>
  </sheetPr>
  <dimension ref="A1:V1"/>
  <sheetViews>
    <sheetView workbookViewId="0">
      <pane ySplit="1" topLeftCell="A2" activePane="bottomLeft" state="frozen"/>
      <selection activeCell="E20" sqref="E20"/>
      <selection pane="bottomLeft" activeCell="A3" sqref="A3:XFD20"/>
    </sheetView>
  </sheetViews>
  <sheetFormatPr baseColWidth="10" defaultRowHeight="15" x14ac:dyDescent="0.25"/>
  <cols>
    <col min="1" max="1" width="9.140625" style="1" customWidth="1"/>
    <col min="2" max="2" width="18.42578125" style="1" customWidth="1"/>
    <col min="3" max="3" width="18" style="1" customWidth="1"/>
    <col min="4" max="4" width="9.140625" style="1" customWidth="1"/>
    <col min="5" max="5" width="14" style="1" customWidth="1"/>
    <col min="6" max="16" width="8.5703125" style="1" customWidth="1"/>
    <col min="17" max="17" width="21.42578125" style="1" customWidth="1"/>
    <col min="18" max="18" width="14.42578125" style="1" customWidth="1"/>
    <col min="19" max="19" width="8.5703125" style="1" customWidth="1"/>
    <col min="20" max="20" width="17.140625" style="1" customWidth="1"/>
    <col min="21" max="21" width="16.28515625" style="1" customWidth="1"/>
    <col min="22" max="22" width="11.5703125" style="1" bestFit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18</v>
      </c>
      <c r="E1" s="42" t="s">
        <v>19</v>
      </c>
      <c r="F1" s="42" t="s">
        <v>20</v>
      </c>
      <c r="G1" s="42" t="s">
        <v>21</v>
      </c>
      <c r="H1" s="42" t="s">
        <v>22</v>
      </c>
      <c r="I1" s="42" t="s">
        <v>23</v>
      </c>
      <c r="J1" s="42" t="s">
        <v>24</v>
      </c>
      <c r="K1" s="42" t="s">
        <v>25</v>
      </c>
      <c r="L1" s="42" t="s">
        <v>26</v>
      </c>
      <c r="M1" s="42" t="s">
        <v>27</v>
      </c>
      <c r="N1" s="42" t="s">
        <v>28</v>
      </c>
      <c r="O1" s="42" t="s">
        <v>29</v>
      </c>
      <c r="P1" s="42" t="s">
        <v>0</v>
      </c>
      <c r="Q1" s="42" t="s">
        <v>1</v>
      </c>
      <c r="R1" s="42" t="s">
        <v>30</v>
      </c>
      <c r="S1" s="42" t="s">
        <v>31</v>
      </c>
      <c r="T1" s="42" t="s">
        <v>32</v>
      </c>
      <c r="U1" s="42" t="s">
        <v>33</v>
      </c>
      <c r="V1" s="42" t="s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0" tint="-0.249977111117893"/>
  </sheetPr>
  <dimension ref="A1:V1"/>
  <sheetViews>
    <sheetView workbookViewId="0">
      <pane ySplit="1" topLeftCell="A2" activePane="bottomLeft" state="frozen"/>
      <selection activeCell="E20" sqref="E20"/>
      <selection pane="bottomLeft" activeCell="B1" sqref="B1:M1"/>
    </sheetView>
  </sheetViews>
  <sheetFormatPr baseColWidth="10" defaultRowHeight="15" x14ac:dyDescent="0.25"/>
  <cols>
    <col min="1" max="1" width="8.7109375" style="1" customWidth="1"/>
    <col min="2" max="2" width="13" style="1" customWidth="1"/>
    <col min="3" max="3" width="15.140625" style="1" customWidth="1"/>
    <col min="4" max="4" width="8.5703125" style="1" customWidth="1"/>
    <col min="5" max="11" width="8.7109375" style="1" customWidth="1"/>
    <col min="12" max="12" width="14.28515625" style="1" customWidth="1"/>
    <col min="13" max="13" width="8.57031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24</v>
      </c>
      <c r="E1" s="42" t="s">
        <v>25</v>
      </c>
      <c r="F1" s="42" t="s">
        <v>34</v>
      </c>
      <c r="G1" s="42" t="s">
        <v>35</v>
      </c>
      <c r="H1" s="42" t="s">
        <v>36</v>
      </c>
      <c r="I1" s="42" t="s">
        <v>37</v>
      </c>
      <c r="J1" s="42" t="s">
        <v>38</v>
      </c>
      <c r="K1" s="42" t="s">
        <v>39</v>
      </c>
      <c r="L1" s="42" t="s">
        <v>40</v>
      </c>
      <c r="M1" s="42" t="s">
        <v>10</v>
      </c>
      <c r="N1" s="45"/>
      <c r="O1" s="45"/>
      <c r="P1" s="45"/>
      <c r="Q1" s="45"/>
      <c r="R1" s="45"/>
      <c r="S1" s="45"/>
      <c r="T1" s="45"/>
      <c r="U1" s="45"/>
      <c r="V1" s="4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00B050"/>
  </sheetPr>
  <dimension ref="A1:V2"/>
  <sheetViews>
    <sheetView workbookViewId="0">
      <pane ySplit="1" topLeftCell="A2" activePane="bottomLeft" state="frozen"/>
      <selection activeCell="E20" sqref="E20"/>
      <selection pane="bottomLeft" activeCell="J18" sqref="J18"/>
    </sheetView>
  </sheetViews>
  <sheetFormatPr baseColWidth="10" defaultRowHeight="15" x14ac:dyDescent="0.25"/>
  <cols>
    <col min="1" max="1" width="8.7109375" style="1" customWidth="1"/>
    <col min="2" max="2" width="13.28515625" style="1" bestFit="1" customWidth="1"/>
    <col min="3" max="3" width="15.42578125" style="1" bestFit="1" customWidth="1"/>
    <col min="4" max="4" width="8.7109375" style="1" customWidth="1"/>
    <col min="5" max="5" width="13.28515625" style="1" bestFit="1" customWidth="1"/>
    <col min="6" max="12" width="8.7109375" style="1" customWidth="1"/>
    <col min="13" max="13" width="18.85546875" style="1" bestFit="1" customWidth="1"/>
    <col min="14" max="16" width="8.7109375" style="1" customWidth="1"/>
    <col min="17" max="17" width="11.140625" style="1" customWidth="1"/>
    <col min="18" max="19" width="8.7109375" style="1" customWidth="1"/>
    <col min="20" max="20" width="13.7109375" style="1" customWidth="1"/>
    <col min="21" max="21" width="8.710937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17</v>
      </c>
      <c r="D1" s="42" t="s">
        <v>41</v>
      </c>
      <c r="E1" s="42" t="s">
        <v>18</v>
      </c>
      <c r="F1" s="42" t="s">
        <v>42</v>
      </c>
      <c r="G1" s="42" t="s">
        <v>43</v>
      </c>
      <c r="H1" s="42" t="s">
        <v>20</v>
      </c>
      <c r="I1" s="42" t="s">
        <v>21</v>
      </c>
      <c r="J1" s="42" t="s">
        <v>22</v>
      </c>
      <c r="K1" s="42" t="s">
        <v>23</v>
      </c>
      <c r="L1" s="42" t="s">
        <v>0</v>
      </c>
      <c r="M1" s="42" t="s">
        <v>1</v>
      </c>
      <c r="N1" s="42" t="s">
        <v>25</v>
      </c>
      <c r="O1" s="42" t="s">
        <v>44</v>
      </c>
      <c r="P1" s="42" t="s">
        <v>45</v>
      </c>
      <c r="Q1" s="42" t="s">
        <v>30</v>
      </c>
      <c r="R1" s="42" t="s">
        <v>31</v>
      </c>
      <c r="S1" s="42" t="s">
        <v>32</v>
      </c>
      <c r="T1" s="42" t="s">
        <v>33</v>
      </c>
      <c r="U1" s="42" t="s">
        <v>10</v>
      </c>
      <c r="V1" s="45"/>
    </row>
    <row r="2" spans="1:22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249977111117893"/>
  </sheetPr>
  <dimension ref="A1:V2"/>
  <sheetViews>
    <sheetView workbookViewId="0">
      <pane ySplit="1" topLeftCell="A2" activePane="bottomLeft" state="frozen"/>
      <selection activeCell="E20" sqref="E20"/>
      <selection pane="bottomLeft" activeCell="B1" sqref="B1:P1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3" width="8.28515625" style="1" customWidth="1"/>
    <col min="4" max="4" width="15.42578125" style="1" bestFit="1" customWidth="1"/>
    <col min="5" max="5" width="8.7109375" style="1" customWidth="1"/>
    <col min="6" max="14" width="8.28515625" style="1" customWidth="1"/>
    <col min="15" max="15" width="15.42578125" style="1" bestFit="1" customWidth="1"/>
    <col min="16" max="16" width="8.285156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43</v>
      </c>
      <c r="D1" s="42" t="s">
        <v>17</v>
      </c>
      <c r="E1" s="42" t="s">
        <v>18</v>
      </c>
      <c r="F1" s="42" t="s">
        <v>24</v>
      </c>
      <c r="G1" s="42" t="s">
        <v>25</v>
      </c>
      <c r="H1" s="42" t="s">
        <v>34</v>
      </c>
      <c r="I1" s="42" t="s">
        <v>35</v>
      </c>
      <c r="J1" s="42" t="s">
        <v>36</v>
      </c>
      <c r="K1" s="42" t="s">
        <v>37</v>
      </c>
      <c r="L1" s="42" t="s">
        <v>45</v>
      </c>
      <c r="M1" s="42" t="s">
        <v>38</v>
      </c>
      <c r="N1" s="42" t="s">
        <v>39</v>
      </c>
      <c r="O1" s="42" t="s">
        <v>40</v>
      </c>
      <c r="P1" s="42" t="s">
        <v>10</v>
      </c>
      <c r="Q1" s="45"/>
      <c r="R1" s="45"/>
      <c r="S1" s="45"/>
      <c r="T1" s="45"/>
      <c r="U1" s="45"/>
      <c r="V1" s="45"/>
    </row>
    <row r="2" spans="1:22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249977111117893"/>
  </sheetPr>
  <dimension ref="A1:N1"/>
  <sheetViews>
    <sheetView workbookViewId="0">
      <pane ySplit="1" topLeftCell="A2" activePane="bottomLeft" state="frozen"/>
      <selection activeCell="E20" sqref="E20"/>
      <selection pane="bottomLeft" activeCell="B1" sqref="B1:N1"/>
    </sheetView>
  </sheetViews>
  <sheetFormatPr baseColWidth="10" defaultRowHeight="15" x14ac:dyDescent="0.25"/>
  <cols>
    <col min="1" max="1" width="8.5703125" customWidth="1"/>
    <col min="2" max="2" width="12.7109375" bestFit="1" customWidth="1"/>
    <col min="3" max="3" width="8.5703125" customWidth="1"/>
    <col min="4" max="4" width="12.42578125" style="1" customWidth="1"/>
    <col min="5" max="5" width="11.7109375" style="1" customWidth="1"/>
    <col min="6" max="6" width="8.5703125" style="1" customWidth="1"/>
    <col min="7" max="7" width="10.5703125" style="1" customWidth="1"/>
    <col min="8" max="9" width="8.5703125" style="1" customWidth="1"/>
    <col min="10" max="10" width="8.7109375" style="1" customWidth="1"/>
    <col min="11" max="12" width="8.5703125" style="1" customWidth="1"/>
    <col min="13" max="13" width="11.7109375" style="1" bestFit="1" customWidth="1"/>
    <col min="14" max="14" width="8.5703125" style="1" customWidth="1"/>
  </cols>
  <sheetData>
    <row r="1" spans="1:14" s="43" customFormat="1" ht="30" customHeight="1" x14ac:dyDescent="0.25">
      <c r="A1" s="40" t="s">
        <v>15</v>
      </c>
      <c r="B1" s="41" t="s">
        <v>16</v>
      </c>
      <c r="C1" s="41" t="s">
        <v>0</v>
      </c>
      <c r="D1" s="42" t="s">
        <v>1</v>
      </c>
      <c r="E1" s="42" t="s">
        <v>3</v>
      </c>
      <c r="F1" s="42" t="s">
        <v>46</v>
      </c>
      <c r="G1" s="42" t="s">
        <v>47</v>
      </c>
      <c r="H1" s="42" t="s">
        <v>48</v>
      </c>
      <c r="I1" s="42" t="s">
        <v>49</v>
      </c>
      <c r="J1" s="42" t="s">
        <v>25</v>
      </c>
      <c r="K1" s="42" t="s">
        <v>38</v>
      </c>
      <c r="L1" s="42" t="s">
        <v>39</v>
      </c>
      <c r="M1" s="42" t="s">
        <v>40</v>
      </c>
      <c r="N1" s="42" t="s">
        <v>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00B050"/>
  </sheetPr>
  <dimension ref="A1:Z1"/>
  <sheetViews>
    <sheetView workbookViewId="0">
      <pane ySplit="1" topLeftCell="A2" activePane="bottomLeft" state="frozen"/>
      <selection activeCell="E20" sqref="E20"/>
      <selection pane="bottomLeft" activeCell="M29" sqref="M29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4" width="8.5703125" style="1" customWidth="1"/>
    <col min="5" max="5" width="15.42578125" style="1" bestFit="1" customWidth="1"/>
    <col min="6" max="8" width="8.5703125" style="1" customWidth="1"/>
    <col min="9" max="9" width="14.5703125" style="1" bestFit="1" customWidth="1"/>
    <col min="10" max="17" width="8.5703125" style="1" customWidth="1"/>
    <col min="18" max="18" width="18.85546875" style="1" bestFit="1" customWidth="1"/>
    <col min="19" max="19" width="12.140625" style="1" customWidth="1"/>
    <col min="20" max="20" width="10.85546875" style="1" customWidth="1"/>
    <col min="21" max="22" width="8.5703125" style="1" customWidth="1"/>
    <col min="23" max="23" width="13.140625" style="1" customWidth="1"/>
    <col min="24" max="24" width="8.5703125" style="1" customWidth="1"/>
    <col min="26" max="26" width="15" bestFit="1" customWidth="1"/>
  </cols>
  <sheetData>
    <row r="1" spans="1:26" s="46" customFormat="1" ht="30" customHeight="1" x14ac:dyDescent="0.25">
      <c r="A1" s="44" t="s">
        <v>15</v>
      </c>
      <c r="B1" s="42" t="s">
        <v>16</v>
      </c>
      <c r="C1" s="42" t="s">
        <v>18</v>
      </c>
      <c r="D1" s="42" t="s">
        <v>41</v>
      </c>
      <c r="E1" s="42" t="s">
        <v>50</v>
      </c>
      <c r="F1" s="42" t="s">
        <v>25</v>
      </c>
      <c r="G1" s="42" t="s">
        <v>44</v>
      </c>
      <c r="H1" s="42" t="s">
        <v>51</v>
      </c>
      <c r="I1" s="42" t="s">
        <v>52</v>
      </c>
      <c r="J1" s="42" t="s">
        <v>53</v>
      </c>
      <c r="K1" s="42" t="s">
        <v>54</v>
      </c>
      <c r="L1" s="42" t="s">
        <v>55</v>
      </c>
      <c r="M1" s="42" t="s">
        <v>56</v>
      </c>
      <c r="N1" s="42" t="s">
        <v>57</v>
      </c>
      <c r="O1" s="42" t="s">
        <v>58</v>
      </c>
      <c r="P1" s="42" t="s">
        <v>59</v>
      </c>
      <c r="Q1" s="42" t="s">
        <v>0</v>
      </c>
      <c r="R1" s="42" t="s">
        <v>1</v>
      </c>
      <c r="S1" s="42" t="s">
        <v>60</v>
      </c>
      <c r="T1" s="42" t="s">
        <v>30</v>
      </c>
      <c r="U1" s="42" t="s">
        <v>31</v>
      </c>
      <c r="V1" s="42" t="s">
        <v>32</v>
      </c>
      <c r="W1" s="47" t="s">
        <v>33</v>
      </c>
      <c r="X1" s="47" t="s">
        <v>10</v>
      </c>
      <c r="Y1" s="48"/>
      <c r="Z1" s="48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00B050"/>
  </sheetPr>
  <dimension ref="A1:V1"/>
  <sheetViews>
    <sheetView workbookViewId="0">
      <pane ySplit="1" topLeftCell="A2" activePane="bottomLeft" state="frozen"/>
      <selection activeCell="E20" sqref="E20"/>
      <selection pane="bottomLeft" activeCell="H19" sqref="H19"/>
    </sheetView>
  </sheetViews>
  <sheetFormatPr baseColWidth="10" defaultRowHeight="15" x14ac:dyDescent="0.25"/>
  <cols>
    <col min="1" max="1" width="8.5703125" style="1" customWidth="1"/>
    <col min="2" max="2" width="13" style="1" bestFit="1" customWidth="1"/>
    <col min="3" max="4" width="8.5703125" style="1" customWidth="1"/>
    <col min="5" max="5" width="15.42578125" style="1" bestFit="1" customWidth="1"/>
    <col min="6" max="6" width="8.5703125" style="1" customWidth="1"/>
    <col min="7" max="7" width="12.5703125" style="1" customWidth="1"/>
    <col min="8" max="8" width="53.42578125" style="1" customWidth="1"/>
    <col min="9" max="10" width="8.5703125" style="1" customWidth="1"/>
    <col min="11" max="11" width="14.28515625" style="1" bestFit="1" customWidth="1"/>
    <col min="12" max="12" width="10.85546875" style="1" customWidth="1"/>
    <col min="13" max="13" width="10" style="1" customWidth="1"/>
    <col min="14" max="15" width="8.5703125" style="1" customWidth="1"/>
    <col min="16" max="16" width="13.140625" style="1" customWidth="1"/>
    <col min="17" max="17" width="8.5703125" style="1" customWidth="1"/>
  </cols>
  <sheetData>
    <row r="1" spans="1:22" s="46" customFormat="1" ht="30" customHeight="1" x14ac:dyDescent="0.25">
      <c r="A1" s="44" t="s">
        <v>15</v>
      </c>
      <c r="B1" s="42" t="s">
        <v>16</v>
      </c>
      <c r="C1" s="42" t="s">
        <v>18</v>
      </c>
      <c r="D1" s="42" t="s">
        <v>41</v>
      </c>
      <c r="E1" s="42" t="s">
        <v>61</v>
      </c>
      <c r="F1" s="42" t="s">
        <v>62</v>
      </c>
      <c r="G1" s="42" t="s">
        <v>52</v>
      </c>
      <c r="H1" s="42" t="s">
        <v>53</v>
      </c>
      <c r="I1" s="42" t="s">
        <v>63</v>
      </c>
      <c r="J1" s="42" t="s">
        <v>0</v>
      </c>
      <c r="K1" s="42" t="s">
        <v>1</v>
      </c>
      <c r="L1" s="42" t="s">
        <v>64</v>
      </c>
      <c r="M1" s="42" t="s">
        <v>30</v>
      </c>
      <c r="N1" s="42" t="s">
        <v>31</v>
      </c>
      <c r="O1" s="42" t="s">
        <v>32</v>
      </c>
      <c r="P1" s="42" t="s">
        <v>33</v>
      </c>
      <c r="Q1" s="42" t="s">
        <v>10</v>
      </c>
      <c r="R1" s="45"/>
      <c r="S1" s="45"/>
      <c r="T1" s="45"/>
      <c r="U1" s="45"/>
      <c r="V1" s="4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&lt;&lt;INFO&gt;&gt;</vt:lpstr>
      <vt:lpstr>transaccion</vt:lpstr>
      <vt:lpstr>usuarios</vt:lpstr>
      <vt:lpstr>consultas</vt:lpstr>
      <vt:lpstr>urgencias</vt:lpstr>
      <vt:lpstr>procedimientos</vt:lpstr>
      <vt:lpstr>hospitalizacion</vt:lpstr>
      <vt:lpstr>recienNacidos</vt:lpstr>
      <vt:lpstr>medicamentos</vt:lpstr>
      <vt:lpstr>otrosServicios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SIMDE</dc:creator>
  <cp:lastModifiedBy>LFN</cp:lastModifiedBy>
  <dcterms:created xsi:type="dcterms:W3CDTF">2015-06-05T18:19:34Z</dcterms:created>
  <dcterms:modified xsi:type="dcterms:W3CDTF">2025-07-29T03:12:30Z</dcterms:modified>
</cp:coreProperties>
</file>